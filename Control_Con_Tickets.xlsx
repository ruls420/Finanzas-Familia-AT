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erver\Downloads\"/>
    </mc:Choice>
  </mc:AlternateContent>
  <xr:revisionPtr revIDLastSave="0" documentId="13_ncr:1_{3C6D1D72-AEEA-49F5-A642-F709FC4813D3}" xr6:coauthVersionLast="47" xr6:coauthVersionMax="47" xr10:uidLastSave="{00000000-0000-0000-0000-000000000000}"/>
  <bookViews>
    <workbookView xWindow="-120" yWindow="-120" windowWidth="29040" windowHeight="15840" tabRatio="883" activeTab="10" xr2:uid="{00000000-000D-0000-FFFF-FFFF00000000}"/>
  </bookViews>
  <sheets>
    <sheet name="🔍 Diagnóstico" sheetId="1" r:id="rId1"/>
    <sheet name="💡 Plan de Acción" sheetId="2" r:id="rId2"/>
    <sheet name="📈 Proyección" sheetId="3" r:id="rId3"/>
    <sheet name="⚙️ Configuración" sheetId="4" r:id="rId4"/>
    <sheet name="📝 Transacciones" sheetId="5" r:id="rId5"/>
    <sheet name="📊 Dashboard" sheetId="6" r:id="rId6"/>
    <sheet name="🏦 Plan Ahorro" sheetId="7" r:id="rId7"/>
    <sheet name="📖 Guía de Uso" sheetId="8" r:id="rId8"/>
    <sheet name="📥 Banamex Importado" sheetId="9" r:id="rId9"/>
    <sheet name="🧾 Tickets-Productos" sheetId="10" r:id="rId10"/>
    <sheet name="📊 Análisis Tickets" sheetId="11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4" i="10" l="1"/>
  <c r="C47" i="7"/>
  <c r="D24" i="6"/>
  <c r="C24" i="6"/>
  <c r="C23" i="6"/>
  <c r="C22" i="6"/>
  <c r="F21" i="6"/>
  <c r="C21" i="6"/>
  <c r="F20" i="6"/>
  <c r="C20" i="6"/>
  <c r="D19" i="6"/>
  <c r="C19" i="6"/>
  <c r="D18" i="6"/>
  <c r="C18" i="6"/>
  <c r="D17" i="6"/>
  <c r="C17" i="6"/>
  <c r="D16" i="6"/>
  <c r="C16" i="6"/>
  <c r="R15" i="6"/>
  <c r="D15" i="6"/>
  <c r="C15" i="6"/>
  <c r="R14" i="6"/>
  <c r="D14" i="6"/>
  <c r="C14" i="6"/>
  <c r="R13" i="6"/>
  <c r="D13" i="6"/>
  <c r="C13" i="6"/>
  <c r="R12" i="6"/>
  <c r="D12" i="6"/>
  <c r="C12" i="6"/>
  <c r="R11" i="6"/>
  <c r="R10" i="6"/>
  <c r="R9" i="6"/>
  <c r="R8" i="6"/>
  <c r="R7" i="6"/>
  <c r="R6" i="6"/>
  <c r="K6" i="6"/>
  <c r="H6" i="6"/>
  <c r="E6" i="6"/>
  <c r="B6" i="6"/>
  <c r="R5" i="6"/>
  <c r="R4" i="6"/>
  <c r="R3" i="6"/>
  <c r="F140" i="5"/>
  <c r="E140" i="5"/>
  <c r="C26" i="4"/>
  <c r="D25" i="4"/>
  <c r="D24" i="4"/>
  <c r="D23" i="4"/>
  <c r="D22" i="4"/>
  <c r="D21" i="4"/>
  <c r="D20" i="4"/>
  <c r="D19" i="4"/>
  <c r="D18" i="4"/>
  <c r="D17" i="4"/>
  <c r="D16" i="4"/>
  <c r="D15" i="4"/>
  <c r="D14" i="4"/>
  <c r="C7" i="4"/>
  <c r="C45" i="7" l="1"/>
  <c r="D22" i="6"/>
  <c r="C34" i="4"/>
  <c r="C31" i="4"/>
  <c r="D26" i="4"/>
  <c r="C9" i="7"/>
  <c r="C6" i="7"/>
  <c r="C5" i="7"/>
  <c r="C25" i="6"/>
  <c r="F24" i="6"/>
  <c r="D23" i="6"/>
  <c r="C35" i="4"/>
  <c r="C33" i="4"/>
  <c r="C32" i="4"/>
  <c r="C30" i="4"/>
  <c r="E24" i="6"/>
  <c r="E21" i="6"/>
  <c r="E20" i="6"/>
  <c r="F19" i="6"/>
  <c r="E19" i="6"/>
  <c r="F18" i="6"/>
  <c r="E18" i="6"/>
  <c r="F17" i="6"/>
  <c r="E17" i="6"/>
  <c r="F16" i="6"/>
  <c r="E16" i="6"/>
  <c r="F15" i="6"/>
  <c r="E15" i="6"/>
  <c r="F14" i="6"/>
  <c r="E14" i="6"/>
  <c r="F13" i="6"/>
  <c r="E13" i="6"/>
  <c r="F12" i="6"/>
  <c r="E12" i="6"/>
  <c r="E22" i="6" l="1"/>
  <c r="F22" i="6"/>
  <c r="D13" i="7"/>
  <c r="H13" i="7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D14" i="7"/>
  <c r="D15" i="7"/>
  <c r="D16" i="7"/>
  <c r="D17" i="7"/>
  <c r="D18" i="7"/>
  <c r="D19" i="7"/>
  <c r="D20" i="7"/>
  <c r="D21" i="7"/>
  <c r="D22" i="7"/>
  <c r="D23" i="7"/>
  <c r="D24" i="7"/>
  <c r="C13" i="7"/>
  <c r="E13" i="7"/>
  <c r="F13" i="7"/>
  <c r="G13" i="7"/>
  <c r="C14" i="7"/>
  <c r="E14" i="7"/>
  <c r="C15" i="7"/>
  <c r="E15" i="7"/>
  <c r="C16" i="7"/>
  <c r="E16" i="7"/>
  <c r="C17" i="7"/>
  <c r="E17" i="7"/>
  <c r="C18" i="7"/>
  <c r="E18" i="7"/>
  <c r="C19" i="7"/>
  <c r="E19" i="7"/>
  <c r="C20" i="7"/>
  <c r="E20" i="7"/>
  <c r="C21" i="7"/>
  <c r="E21" i="7"/>
  <c r="C22" i="7"/>
  <c r="E22" i="7"/>
  <c r="C23" i="7"/>
  <c r="E23" i="7"/>
  <c r="C24" i="7"/>
  <c r="E24" i="7"/>
  <c r="C48" i="7"/>
  <c r="E23" i="6"/>
  <c r="F23" i="6"/>
  <c r="D25" i="6"/>
  <c r="E25" i="6" s="1"/>
  <c r="I13" i="7" l="1"/>
  <c r="F14" i="7"/>
  <c r="G14" i="7"/>
  <c r="I14" i="7" l="1"/>
  <c r="F15" i="7"/>
  <c r="G15" i="7"/>
  <c r="I15" i="7" l="1"/>
  <c r="F16" i="7"/>
  <c r="G16" i="7"/>
  <c r="I16" i="7" l="1"/>
  <c r="F17" i="7"/>
  <c r="G17" i="7"/>
  <c r="I17" i="7" l="1"/>
  <c r="F18" i="7"/>
  <c r="G18" i="7"/>
  <c r="I18" i="7" l="1"/>
  <c r="F19" i="7"/>
  <c r="G19" i="7"/>
  <c r="I19" i="7" l="1"/>
  <c r="F20" i="7"/>
  <c r="G20" i="7"/>
  <c r="I20" i="7" l="1"/>
  <c r="F21" i="7"/>
  <c r="G21" i="7"/>
  <c r="I21" i="7" l="1"/>
  <c r="F22" i="7"/>
  <c r="G22" i="7"/>
  <c r="I22" i="7" l="1"/>
  <c r="F23" i="7"/>
  <c r="G23" i="7"/>
  <c r="I23" i="7" l="1"/>
  <c r="F24" i="7"/>
  <c r="G24" i="7"/>
  <c r="I24" i="7" s="1"/>
</calcChain>
</file>

<file path=xl/sharedStrings.xml><?xml version="1.0" encoding="utf-8"?>
<sst xmlns="http://schemas.openxmlformats.org/spreadsheetml/2006/main" count="2264" uniqueCount="679">
  <si>
    <t>🔍  DIAGNÓSTICO FINANCIERO — Tarjeta Costco Banamex</t>
  </si>
  <si>
    <t>Período analizado: 16-mar-2026 al 21-abr-2026  (37 días)</t>
  </si>
  <si>
    <t>💸 Gastos totales
(37 días)</t>
  </si>
  <si>
    <t>💳 Pagos realizados
(37 días)</t>
  </si>
  <si>
    <t>⚠️ Saldo pendiente</t>
  </si>
  <si>
    <t>🔥 CAT tarjeta</t>
  </si>
  <si>
    <t>$21,790</t>
  </si>
  <si>
    <t>$12,675</t>
  </si>
  <si>
    <t>$9,115</t>
  </si>
  <si>
    <t>81.5%</t>
  </si>
  <si>
    <t>📊  DESGLOSE REAL DE GASTOS (período analizado)</t>
  </si>
  <si>
    <t>Categoría</t>
  </si>
  <si>
    <t>Gasto Real</t>
  </si>
  <si>
    <t>% del total</t>
  </si>
  <si>
    <t>Evaluación</t>
  </si>
  <si>
    <t>🛒 Despensa / Súper (Costco+Soriana)</t>
  </si>
  <si>
    <t>Costco principal, revisar frecuencia de visitas</t>
  </si>
  <si>
    <t>Despensa</t>
  </si>
  <si>
    <t>⛽ Gasolina</t>
  </si>
  <si>
    <t>Alta — ¿optimizar rutas?</t>
  </si>
  <si>
    <t>Gasolina</t>
  </si>
  <si>
    <t>🍔 Comida rápida y restaurantes</t>
  </si>
  <si>
    <t>9 visitas en 37 días — fuga importante</t>
  </si>
  <si>
    <t>Comida</t>
  </si>
  <si>
    <t>🏪 OXXO / Tiendas conveniencia</t>
  </si>
  <si>
    <t>9 visitas — compras impulsivas frecuentes</t>
  </si>
  <si>
    <t>OXXO</t>
  </si>
  <si>
    <t>💊 Salud (farmacia+dental+médico)</t>
  </si>
  <si>
    <t>Necesario, pero buscar seguro médico</t>
  </si>
  <si>
    <t>Salud</t>
  </si>
  <si>
    <t>📆 Costco a meses (cuota mensual)</t>
  </si>
  <si>
    <t>5 pagos restantes de $1,200</t>
  </si>
  <si>
    <t>Costco</t>
  </si>
  <si>
    <t>🛍️ Compras online (Amazon+otros)</t>
  </si>
  <si>
    <t>Evaluar necesidad real</t>
  </si>
  <si>
    <t>Compras</t>
  </si>
  <si>
    <t>👗 Ropa SHEIN</t>
  </si>
  <si>
    <t>$855 en una sola compra — evitable</t>
  </si>
  <si>
    <t>Ropa</t>
  </si>
  <si>
    <t>☕ Caffenio (8 recargas)</t>
  </si>
  <si>
    <t>$850/mes en café — alta prioridad eliminar</t>
  </si>
  <si>
    <t>Caffenio</t>
  </si>
  <si>
    <t>📱 Celular Telcel</t>
  </si>
  <si>
    <t>Fijo mensual</t>
  </si>
  <si>
    <t>Celular</t>
  </si>
  <si>
    <t>🎬 Netflix</t>
  </si>
  <si>
    <t>¿Realmente lo usas?</t>
  </si>
  <si>
    <t>Netflix</t>
  </si>
  <si>
    <t>💰 GBM Forjadores</t>
  </si>
  <si>
    <t>Esto es inversión — ¡mantenerlo!</t>
  </si>
  <si>
    <t>GBM</t>
  </si>
  <si>
    <t>TOTAL CARGOS</t>
  </si>
  <si>
    <t>🚨  PROBLEMAS DETECTADOS</t>
  </si>
  <si>
    <t>1️⃣  Gastas más de lo que ganas</t>
  </si>
  <si>
    <t>Con salario ~$10,000/mes, gastaste $21,790 en solo 37 días. Dependes de la tarjeta para cubrir la diferencia.</t>
  </si>
  <si>
    <t>2️⃣  CAT del 81.5% — la tarjeta más cara de tu cartera</t>
  </si>
  <si>
    <t>Si no liquidas el saldo completo cada mes, los intereses te comen vivo. Por ley este banco cobra 58% anual ordinario.</t>
  </si>
  <si>
    <t>3️⃣  34% de tus gastos son discrecionales reducibles</t>
  </si>
  <si>
    <t>Comida rápida + OXXO + Caffenio + SHEIN + compras online = $7,464. Dinero que podría ser ahorro.</t>
  </si>
  <si>
    <t>4️⃣  Sin colchón de emergencia</t>
  </si>
  <si>
    <t>Sin fondo de emergencia, cualquier imprevisto (salud, carro) va directo a la tarjeta, generando deuda cara.</t>
  </si>
  <si>
    <t>5️⃣  OXXO es tu fuga más silenciosa</t>
  </si>
  <si>
    <t>9 visitas, $1,902. En promedio $211 por visita. Son compras de conveniencia que en Costco costarían la mitad.</t>
  </si>
  <si>
    <t>💡  PLAN DE ACCIÓN — Tu Ruta Hacia el Equilibrio Financiero</t>
  </si>
  <si>
    <t>Meta: Liquidar deuda tarjeta + construir fondo de emergencia + comenzar a invertir</t>
  </si>
  <si>
    <t>💰  PRESUPUESTO MENSUAL OBJETIVO (Salario $10,000/mes estimado)</t>
  </si>
  <si>
    <t>Gasto Actual</t>
  </si>
  <si>
    <t>Presupuesto Meta</t>
  </si>
  <si>
    <t>Ahorro Mensual</t>
  </si>
  <si>
    <t>Actual</t>
  </si>
  <si>
    <t>Meta</t>
  </si>
  <si>
    <t>🛒 Despensa/Súper</t>
  </si>
  <si>
    <t>Planear lista semanal, reducir visitas Costco espontáneas</t>
  </si>
  <si>
    <t>🛒 Despensa/Súpe</t>
  </si>
  <si>
    <t>Consolidar viajes, verificar rutas eficientes</t>
  </si>
  <si>
    <t>🍔 Comida rápida/restaurantes</t>
  </si>
  <si>
    <t>Máx 2 salidas/semana. Cocinar en casa.</t>
  </si>
  <si>
    <t>🍔 Comida rápida</t>
  </si>
  <si>
    <t>🏪 OXXO/Conveniencia</t>
  </si>
  <si>
    <t>SOLO emergencias. Comprar en Costco o Soriana.</t>
  </si>
  <si>
    <t>🏪 OXXO/Convenie</t>
  </si>
  <si>
    <t>☕ Caffenio</t>
  </si>
  <si>
    <t>Eliminar. Café en casa = $0. Ahorro: $700/mes</t>
  </si>
  <si>
    <t>💊 Salud</t>
  </si>
  <si>
    <t>Mantener. Considerar seguro médico familiar</t>
  </si>
  <si>
    <t>📆 Costco a meses (cuota)</t>
  </si>
  <si>
    <t>Comprometido hasta liquidar (5 meses restantes)</t>
  </si>
  <si>
    <t>📆 Costco a mese</t>
  </si>
  <si>
    <t>🛍️ Compras online</t>
  </si>
  <si>
    <t>Solo si es necesidad real, no impulso</t>
  </si>
  <si>
    <t>🛍️ Compras onli</t>
  </si>
  <si>
    <t>👗 Ropa/Personal</t>
  </si>
  <si>
    <t>Presupuesto fijo trimestral, no mensual</t>
  </si>
  <si>
    <t>Revisar plan, ¿hay uno más barato?</t>
  </si>
  <si>
    <t>📱 Celular Telce</t>
  </si>
  <si>
    <t>Mantener si lo usas, cancelar si no</t>
  </si>
  <si>
    <t>💰 GBM/Inversión</t>
  </si>
  <si>
    <t>¡AUMENTAR! Es lo único que genera riqueza</t>
  </si>
  <si>
    <t>🆘 Fondo de Emergencia</t>
  </si>
  <si>
    <t>NUEVO — prioritario hasta tener $30,000</t>
  </si>
  <si>
    <t>🆘 Fondo de Emer</t>
  </si>
  <si>
    <t>💳 Pago extra deuda tarjeta</t>
  </si>
  <si>
    <t>Para liquidar antes los $9,115 pendientes</t>
  </si>
  <si>
    <t>💳 Pago extra de</t>
  </si>
  <si>
    <t>TOTAL</t>
  </si>
  <si>
    <t>Salario mensual estimado</t>
  </si>
  <si>
    <t>Saldo libre con presupuesto meta</t>
  </si>
  <si>
    <t>🗓️  PLAN MES A MES — 6 MESES</t>
  </si>
  <si>
    <t>Mes</t>
  </si>
  <si>
    <t>Prioridad</t>
  </si>
  <si>
    <t>Meta concreta</t>
  </si>
  <si>
    <t>Resultado esperado</t>
  </si>
  <si>
    <t>Mayo 2026</t>
  </si>
  <si>
    <t>🔴 URGENTE</t>
  </si>
  <si>
    <t>1) Para tarjeta en 0 cada corte. 2) Elimina Caffenio. 3) Máx 2 salidas a comer.</t>
  </si>
  <si>
    <t>Reducir gasto mensual a ~$8,500. Sin intereses tarjeta.</t>
  </si>
  <si>
    <t>Junio 2026</t>
  </si>
  <si>
    <t>1) Liquida el saldo pendiente $9,115 usando el ahorro de gastos. 2) Abre CETES Directo.</t>
  </si>
  <si>
    <t>Tarjeta en $0. Primera inversión en CETES $500.</t>
  </si>
  <si>
    <t>Julio 2026</t>
  </si>
  <si>
    <t>🟡 CONSTRUIR</t>
  </si>
  <si>
    <t>1) Inicia fondo emergencia ($500/quincena). 2) Sube aportación GBM a $500/mes.</t>
  </si>
  <si>
    <t>Fondo emergencia: $1,000. Inversiones: $1,000.</t>
  </si>
  <si>
    <t>Agosto 2026</t>
  </si>
  <si>
    <t>1) Evalúa cancelar Netflix si no lo usas. 2) Continúa fondo emergencia.</t>
  </si>
  <si>
    <t>Fondo emergencia: $3,000. Inversiones: $1,500.</t>
  </si>
  <si>
    <t>Sept 2026</t>
  </si>
  <si>
    <t>🟢 CRECER</t>
  </si>
  <si>
    <t>1) Fondo emergencia meta $15,000. 2) Evalúa ETF o fondo índice para largo plazo.</t>
  </si>
  <si>
    <t>Fondo emergencia: $5,000. Inversiones: $2,500.</t>
  </si>
  <si>
    <t>Oct 2026</t>
  </si>
  <si>
    <t>1) Costco a meses termina (último pago). 2) Esos $1,200 → ahorro/inversión.</t>
  </si>
  <si>
    <t>Sin deudas a meses. Inversión mensual: $1,700.</t>
  </si>
  <si>
    <t>📈  PROYECCIÓN — Liquidación de Deuda + Crecimiento de Ahorro</t>
  </si>
  <si>
    <t>⚙️  PARÁMETROS (editables en azul)</t>
  </si>
  <si>
    <t>Saldo deuda tarjeta ($)</t>
  </si>
  <si>
    <t>Pago extra mensual ($)</t>
  </si>
  <si>
    <t>CAT tarjeta anual (%)</t>
  </si>
  <si>
    <t>Ahorro mensual ($)</t>
  </si>
  <si>
    <t>Inversión mensual ($)</t>
  </si>
  <si>
    <t>Rendimiento inversión (%)</t>
  </si>
  <si>
    <t>📅  PROYECCIÓN MES A MES (12 meses)</t>
  </si>
  <si>
    <t>Deuda</t>
  </si>
  <si>
    <t>Ahorro</t>
  </si>
  <si>
    <t>Inversión</t>
  </si>
  <si>
    <t>Saldo Deuda</t>
  </si>
  <si>
    <t>Int.Mes</t>
  </si>
  <si>
    <t>Pago Deuda</t>
  </si>
  <si>
    <t>Saldo Ahorro</t>
  </si>
  <si>
    <t>Saldo Inversión</t>
  </si>
  <si>
    <t>Mayo 26</t>
  </si>
  <si>
    <t>Junio 26</t>
  </si>
  <si>
    <t>Julio 26</t>
  </si>
  <si>
    <t>Agosto 26</t>
  </si>
  <si>
    <t>Sept 26</t>
  </si>
  <si>
    <t>Oct 26</t>
  </si>
  <si>
    <t>Nov 26</t>
  </si>
  <si>
    <t>Dic 26</t>
  </si>
  <si>
    <t>Enero 27</t>
  </si>
  <si>
    <t>Feb 27</t>
  </si>
  <si>
    <t>Marzo 27</t>
  </si>
  <si>
    <t>Abril 27</t>
  </si>
  <si>
    <t>✅  Con $500/mes extra, tu deuda actual de $9,115 queda liquidada antes de 2 años (considerando intereses del 58% anual). ¡Con $1,000/mes extra, en ~10 meses!</t>
  </si>
  <si>
    <t>💰  SISTEMA DE CONTROL FINANCIERO PERSONAL</t>
  </si>
  <si>
    <t>Servicio Básico</t>
  </si>
  <si>
    <t>Ingresa tu salario y presupuesto base — todo lo demás se calcula automáticamente</t>
  </si>
  <si>
    <t>Educación/Salud</t>
  </si>
  <si>
    <t>Transporte</t>
  </si>
  <si>
    <t>📋  DATOS GENERALES</t>
  </si>
  <si>
    <t>Vivienda</t>
  </si>
  <si>
    <t>Salario Quincenal Neto</t>
  </si>
  <si>
    <t>Alimentación</t>
  </si>
  <si>
    <t>Salario Mensual (x2)</t>
  </si>
  <si>
    <t>Meta de Ahorro (%)</t>
  </si>
  <si>
    <t>Entretenimiento</t>
  </si>
  <si>
    <t>Meta de Inversión (%)</t>
  </si>
  <si>
    <t>Comunicación</t>
  </si>
  <si>
    <t>Fondo de Emergencia (meses de gastos)</t>
  </si>
  <si>
    <t>Ropa/Personal</t>
  </si>
  <si>
    <t>Deudas/Crédito</t>
  </si>
  <si>
    <t>🏠  GASTOS FIJOS MENSUALES (Editables)</t>
  </si>
  <si>
    <t>Presupuesto Mensual ($)</t>
  </si>
  <si>
    <t>Presupuesto Quincenal ($)</t>
  </si>
  <si>
    <t>Tipo</t>
  </si>
  <si>
    <t>Luz (CFE)</t>
  </si>
  <si>
    <t>Otros</t>
  </si>
  <si>
    <t>Internet</t>
  </si>
  <si>
    <t>Gas</t>
  </si>
  <si>
    <t>Monitor/Terapeuta hijo</t>
  </si>
  <si>
    <t>Renta/Hipoteca</t>
  </si>
  <si>
    <t>Agua</t>
  </si>
  <si>
    <t>Seguro Coche</t>
  </si>
  <si>
    <t>Streaming/Suscripciones</t>
  </si>
  <si>
    <t>Despensa / Súper</t>
  </si>
  <si>
    <t>Otros fijos</t>
  </si>
  <si>
    <t>TOTAL GASTOS FIJOS</t>
  </si>
  <si>
    <t>📊  RESUMEN FINANCIERO RÁPIDO</t>
  </si>
  <si>
    <t>Salario Mensual</t>
  </si>
  <si>
    <t>(-) Total Gastos Fijos</t>
  </si>
  <si>
    <t>(-) Meta Ahorro</t>
  </si>
  <si>
    <t>(-) Meta Inversión</t>
  </si>
  <si>
    <t>Dinero Libre (Variable)</t>
  </si>
  <si>
    <t>Fondo Emergencia Meta ($)</t>
  </si>
  <si>
    <t>ℹ️  Azul = Celda de entrada (editable) | Negro = Fórmula automática | Verde = Resultado clave</t>
  </si>
  <si>
    <t>📝  REGISTRO DE TRANSACCIONES — Importación de Estado de Cuenta</t>
  </si>
  <si>
    <t>Pega tus movimientos bancarios aquí | Formato: Fecha · Descripción · Cargo/Abono · Categoría  | Puedes copiar y pegar directamente desde tu estado de cuenta PDF/CSV</t>
  </si>
  <si>
    <t>💡  CÓMO IMPORTAR: (1) Descarga tu estado de cuenta en CSV/Excel desde la app del banco  (2) Copia las columnas Fecha, Descripción, Cargo, Abono  (3) Pégalas aquí desde la fila 8  (4) Asigna la categoría en columna F  →  ¡Los dashboards se actualizan solos!</t>
  </si>
  <si>
    <t>#</t>
  </si>
  <si>
    <t>Fecha</t>
  </si>
  <si>
    <t>Descripción / Concepto</t>
  </si>
  <si>
    <t>Cargo ($)</t>
  </si>
  <si>
    <t>Abono ($)</t>
  </si>
  <si>
    <t>Subcuenta</t>
  </si>
  <si>
    <t>Quincena</t>
  </si>
  <si>
    <t>Notas / Referencia</t>
  </si>
  <si>
    <t>16/03/2026</t>
  </si>
  <si>
    <t>COSTCO LOS CABOS</t>
  </si>
  <si>
    <t>Súper/Despensa</t>
  </si>
  <si>
    <t>1ra Quincena Mar</t>
  </si>
  <si>
    <t>19/03/2026</t>
  </si>
  <si>
    <t>LITTLE CAESARS</t>
  </si>
  <si>
    <t>Restaurantes</t>
  </si>
  <si>
    <t>21/03/2026</t>
  </si>
  <si>
    <t>OXXOSAN BERNABE CEN</t>
  </si>
  <si>
    <t>OXXO/Conveniencia</t>
  </si>
  <si>
    <t>22/03/2026</t>
  </si>
  <si>
    <t>OPENPAY*CAFFENIO RECARGA</t>
  </si>
  <si>
    <t>2da Quincena Mar</t>
  </si>
  <si>
    <t>⚠️ Fuga</t>
  </si>
  <si>
    <t>23/03/2026</t>
  </si>
  <si>
    <t>FARMACIAS SIMILARES</t>
  </si>
  <si>
    <t>Farmacia</t>
  </si>
  <si>
    <t>24/03/2026</t>
  </si>
  <si>
    <t>ESTACION 2864 DISTRIBU</t>
  </si>
  <si>
    <t>27/03/2026</t>
  </si>
  <si>
    <t>TELCEL 1MPS ECOM</t>
  </si>
  <si>
    <t>28/03/2026</t>
  </si>
  <si>
    <t>SORIANA LOS CABOS</t>
  </si>
  <si>
    <t>OXXO CHAMIZAL LAP</t>
  </si>
  <si>
    <t>SU ABONO...GRACIAS</t>
  </si>
  <si>
    <t>Abono</t>
  </si>
  <si>
    <t>Pago tarjeta</t>
  </si>
  <si>
    <t>30/03/2026</t>
  </si>
  <si>
    <t>AMAZON</t>
  </si>
  <si>
    <t>Compras Online</t>
  </si>
  <si>
    <t>Amazon</t>
  </si>
  <si>
    <t>31/03/2026</t>
  </si>
  <si>
    <t>CARLS JR SAN LUCAS</t>
  </si>
  <si>
    <t>RAPPI VERIFICACION</t>
  </si>
  <si>
    <t>Delivery Rappi</t>
  </si>
  <si>
    <t>D LOCAL*REST RAPPI</t>
  </si>
  <si>
    <t>01/04/2026</t>
  </si>
  <si>
    <t>1ra Quincena Abr</t>
  </si>
  <si>
    <t>OXXO PEDROZA CEN</t>
  </si>
  <si>
    <t>Devolución</t>
  </si>
  <si>
    <t>Devolución Rappi</t>
  </si>
  <si>
    <t>02/04/2026</t>
  </si>
  <si>
    <t>03/04/2026</t>
  </si>
  <si>
    <t>04/04/2026</t>
  </si>
  <si>
    <t>05/04/2026</t>
  </si>
  <si>
    <t>06/04/2026</t>
  </si>
  <si>
    <t>MERPAGO*DENTAL</t>
  </si>
  <si>
    <t>Dental</t>
  </si>
  <si>
    <t>BURGER KING</t>
  </si>
  <si>
    <t>GASO AEROPUERTO</t>
  </si>
  <si>
    <t>Devolución Costco</t>
  </si>
  <si>
    <t>COSTCO GAS LOS CABOS</t>
  </si>
  <si>
    <t>07/04/2026</t>
  </si>
  <si>
    <t>GB 3 FORJADORES</t>
  </si>
  <si>
    <t>GBM Forjadores</t>
  </si>
  <si>
    <t>💰 Inversión</t>
  </si>
  <si>
    <t>DIESGAS Q64</t>
  </si>
  <si>
    <t>STRIPE *WWW CHUYALMADA</t>
  </si>
  <si>
    <t>Otros online</t>
  </si>
  <si>
    <t>08/04/2026</t>
  </si>
  <si>
    <t>NETFLIX COM 1</t>
  </si>
  <si>
    <t>Streaming</t>
  </si>
  <si>
    <t>STRIPE *WWW SHEIN COM</t>
  </si>
  <si>
    <t>Ropa SHEIN</t>
  </si>
  <si>
    <t>11/04/2026</t>
  </si>
  <si>
    <t>MERPAGO*RICARDO</t>
  </si>
  <si>
    <t>Médico</t>
  </si>
  <si>
    <t>12/04/2026</t>
  </si>
  <si>
    <t>14/04/2026</t>
  </si>
  <si>
    <t>GASOL TRANSP 3</t>
  </si>
  <si>
    <t>REST PEZGALLO LOS CABOS</t>
  </si>
  <si>
    <t>15/04/2026</t>
  </si>
  <si>
    <t>16/04/2026</t>
  </si>
  <si>
    <t>2da Quincena Abr</t>
  </si>
  <si>
    <t>Abono quincenal</t>
  </si>
  <si>
    <t>17/04/2026</t>
  </si>
  <si>
    <t>CARLS JR SAN JOSE CABO</t>
  </si>
  <si>
    <t>18/04/2026</t>
  </si>
  <si>
    <t>MERPAGO*TACOSRANGER</t>
  </si>
  <si>
    <t>19/04/2026</t>
  </si>
  <si>
    <t>COSTCO LOS CABOS (1/6 meses)</t>
  </si>
  <si>
    <t>Costco meses</t>
  </si>
  <si>
    <t>Pago 1 de 6</t>
  </si>
  <si>
    <t>EBW GENERAL</t>
  </si>
  <si>
    <t>DLO*RAPPI MX</t>
  </si>
  <si>
    <t>20/04/2026</t>
  </si>
  <si>
    <t>CARNES SUPREMAS</t>
  </si>
  <si>
    <t>21/04/2026</t>
  </si>
  <si>
    <t>22/04/2026</t>
  </si>
  <si>
    <t>COSTCO LOS CABOS (2/6 meses)</t>
  </si>
  <si>
    <t>Pago 2 de 6</t>
  </si>
  <si>
    <t>DLO*RAPPI MX (devolución)</t>
  </si>
  <si>
    <t>23/04/2026</t>
  </si>
  <si>
    <t>DULCERIA ARANZA 2</t>
  </si>
  <si>
    <t>Dulcería</t>
  </si>
  <si>
    <t>24/04/2026</t>
  </si>
  <si>
    <t>REST LA LITRERIA</t>
  </si>
  <si>
    <t>REST BARRIO DEL TANGO</t>
  </si>
  <si>
    <t>CLIP MX*REST TACOS 22</t>
  </si>
  <si>
    <t>GASOL ZACATAL 2</t>
  </si>
  <si>
    <t>CFE CONTIGO MU</t>
  </si>
  <si>
    <t>Luz CFE</t>
  </si>
  <si>
    <t>25/04/2026</t>
  </si>
  <si>
    <t>LEY SAN JOSE VIEJO</t>
  </si>
  <si>
    <t>26/04/2026</t>
  </si>
  <si>
    <t>PESC HIELE G SAN JO V</t>
  </si>
  <si>
    <t>Pescado/mariscos</t>
  </si>
  <si>
    <t>SUPERCENTER SAN JOSE D</t>
  </si>
  <si>
    <t>Walmart</t>
  </si>
  <si>
    <t>27/04/2026</t>
  </si>
  <si>
    <t>28/04/2026</t>
  </si>
  <si>
    <t>29/04/2026</t>
  </si>
  <si>
    <t>304 PARISINA CABO LEY</t>
  </si>
  <si>
    <t>SUPER RAPPI</t>
  </si>
  <si>
    <t>01/05/2026</t>
  </si>
  <si>
    <t>1ra Quincena May</t>
  </si>
  <si>
    <t>02/05/2026</t>
  </si>
  <si>
    <t>GASOL OPER 2020</t>
  </si>
  <si>
    <t>03/05/2026</t>
  </si>
  <si>
    <t>04/05/2026</t>
  </si>
  <si>
    <t>06/05/2026</t>
  </si>
  <si>
    <t>OXXO COLINAS LAP</t>
  </si>
  <si>
    <t>07/05/2026</t>
  </si>
  <si>
    <t>BPK*FERRE COMEX (1/6 meses)</t>
  </si>
  <si>
    <t>Ferre Comex</t>
  </si>
  <si>
    <t>COMIDA CHINA ZHEN WEI</t>
  </si>
  <si>
    <t>VERTICHE 226 SAN JOSE</t>
  </si>
  <si>
    <t>08/05/2026</t>
  </si>
  <si>
    <t>09/05/2026</t>
  </si>
  <si>
    <t>MERPAGO*OCEANG</t>
  </si>
  <si>
    <t>10/05/2026</t>
  </si>
  <si>
    <t>GAS T5 LOS CABOS</t>
  </si>
  <si>
    <t>11/05/2026</t>
  </si>
  <si>
    <t>PAYPAL *GOOGLE GOOGLE</t>
  </si>
  <si>
    <t>Servicios digit.</t>
  </si>
  <si>
    <t>12/05/2026</t>
  </si>
  <si>
    <t>13/05/2026</t>
  </si>
  <si>
    <t>LA MURALLA</t>
  </si>
  <si>
    <t>14/05/2026</t>
  </si>
  <si>
    <t>TCONECT*ABARROTES LA H</t>
  </si>
  <si>
    <t>16/05/2026</t>
  </si>
  <si>
    <t>2da Quincena May</t>
  </si>
  <si>
    <t>17/05/2026</t>
  </si>
  <si>
    <t>COSTCO LOS CABOS (food court)</t>
  </si>
  <si>
    <t>Food court</t>
  </si>
  <si>
    <t>19/05/2026</t>
  </si>
  <si>
    <t>LEY CANTABRIA</t>
  </si>
  <si>
    <t>PLAZA CANTABRIA</t>
  </si>
  <si>
    <t>Varios</t>
  </si>
  <si>
    <t>UBER RIDE</t>
  </si>
  <si>
    <t>Uber</t>
  </si>
  <si>
    <t>TOTALES — 132 movimientos reales (Mar-May 2026)</t>
  </si>
  <si>
    <t>📊  DASHBOARD FINANCIERO MENSUAL</t>
  </si>
  <si>
    <t>Gasto</t>
  </si>
  <si>
    <t>💵 INGRESO MENSUAL</t>
  </si>
  <si>
    <t>🛒 TOTAL GASTOS</t>
  </si>
  <si>
    <t>💰 BALANCE NETO</t>
  </si>
  <si>
    <t>🎯 % AHORRO REAL</t>
  </si>
  <si>
    <t>💸  GASTOS POR CATEGORÍA</t>
  </si>
  <si>
    <t>Gasto Real ($)</t>
  </si>
  <si>
    <t>Presupuesto ($)</t>
  </si>
  <si>
    <t>Diferencia ($)</t>
  </si>
  <si>
    <t>Estado</t>
  </si>
  <si>
    <t>🏦  PLAN DE AHORRO E INVERSIÓN — Interés Compuesto</t>
  </si>
  <si>
    <t>⚙️  PARÁMETROS DEL PLAN</t>
  </si>
  <si>
    <t>Ahorro mensual (de Config.)</t>
  </si>
  <si>
    <t>Inversión mensual (de Config.)</t>
  </si>
  <si>
    <t>Rendimiento anual estimado (%)</t>
  </si>
  <si>
    <t>Años de proyección</t>
  </si>
  <si>
    <t>Fondo de emergencia meta ($)</t>
  </si>
  <si>
    <t>📈  PROYECCIÓN INTERÉS COMPUESTO (12 MESES)</t>
  </si>
  <si>
    <t>Aportación Ahorro</t>
  </si>
  <si>
    <t>Aportación Inversión</t>
  </si>
  <si>
    <t>Total Aportado</t>
  </si>
  <si>
    <t>Intereses Generados</t>
  </si>
  <si>
    <t>Saldo Total</t>
  </si>
  <si>
    <t>🆘  PROGRESO FONDO DE EMERGENCIA</t>
  </si>
  <si>
    <t>Meta fondo emergencia</t>
  </si>
  <si>
    <t>Ahorrado actualmente</t>
  </si>
  <si>
    <t>% Alcanzado</t>
  </si>
  <si>
    <t>Meses restantes</t>
  </si>
  <si>
    <t>📖  GUÍA DE USO RÁPIDA</t>
  </si>
  <si>
    <t>PASO 1</t>
  </si>
  <si>
    <t>⚙️ Configuración</t>
  </si>
  <si>
    <t>• Ingresa tu salario quincenal neto en celda C6</t>
  </si>
  <si>
    <t>• Ajusta las metas de ahorro (%) e inversión (%)</t>
  </si>
  <si>
    <t>• Revisa y modifica los gastos fijos según tu realidad</t>
  </si>
  <si>
    <t>• El resumen financiero se calcula automáticamente</t>
  </si>
  <si>
    <t>PASO 2</t>
  </si>
  <si>
    <t>📝 Transacciones</t>
  </si>
  <si>
    <t>• Agrega cada movimiento manualmente O importa desde tu banco:</t>
  </si>
  <si>
    <t xml:space="preserve">  → App BBVA/Banamex/Santander → Estado de cuenta → Descargar CSV</t>
  </si>
  <si>
    <t xml:space="preserve">  → Abre el CSV en Excel → Copia Fecha, Descripción, Cargos, Abonos</t>
  </si>
  <si>
    <t xml:space="preserve">  → Pega a partir de la fila 8 en esta hoja</t>
  </si>
  <si>
    <t>• Asigna la categoría en columna F (menú desplegable)</t>
  </si>
  <si>
    <t>• Marca si es 1ra o 2da quincena en columna H</t>
  </si>
  <si>
    <t>PASO 3</t>
  </si>
  <si>
    <t>📊 Dashboard</t>
  </si>
  <si>
    <t>• Ve al Dashboard para ver tus gráficas actualizadas</t>
  </si>
  <si>
    <t>• Revisa los semáforos ✅/⚠️ por categoría</t>
  </si>
  <si>
    <t>• Identifica las categorías donde más te excedes</t>
  </si>
  <si>
    <t>• El % de ahorro real te dice si vas bien o mal</t>
  </si>
  <si>
    <t>PASO 4</t>
  </si>
  <si>
    <t>🏦 Plan Ahorro</t>
  </si>
  <si>
    <t>• Configura el rendimiento anual estimado (CETES ~10%, Fondo índice ~12%)</t>
  </si>
  <si>
    <t>• Mira cómo crece tu dinero con interés compuesto</t>
  </si>
  <si>
    <t>• Define cuánto necesitas para tu fondo de emergencia</t>
  </si>
  <si>
    <t>• Actualiza 'Ahorrado actualmente' para ver tu progreso</t>
  </si>
  <si>
    <t>CONSEJO</t>
  </si>
  <si>
    <t>🔍 Detectar fugas</t>
  </si>
  <si>
    <t>• Filtra por categoría 'Otros' y 'Entretenimiento' → ahí están las fugas</t>
  </si>
  <si>
    <t>• Cualquier gasto marcado como 'Revisar si necesario' en Notas → evalúalo</t>
  </si>
  <si>
    <t>• Compara mes a mes: ¿qué categoría creció más?</t>
  </si>
  <si>
    <t>• Regla 50/30/20: 50% necesidades, 30% deseos, 20% ahorro</t>
  </si>
  <si>
    <t>📥  IMPORTACIÓN BANAMEX — Costco Tarjeta de Crédito</t>
  </si>
  <si>
    <t>Período: 16-mar-2026 al 21-abr-2026  |  Titular: RAUL ASTUDILLO B  |  Tarjeta: 4037 **** **** 7204</t>
  </si>
  <si>
    <t>Total Cargos: $21,790.64</t>
  </si>
  <si>
    <t>Total Abonos/Pagos: $12,675.48</t>
  </si>
  <si>
    <t>Movimientos: 62</t>
  </si>
  <si>
    <t>Balance neto: $-9,115.16</t>
  </si>
  <si>
    <t>Fecha Op.</t>
  </si>
  <si>
    <t>Fecha Cargo</t>
  </si>
  <si>
    <t>Descripción</t>
  </si>
  <si>
    <t>Subcategoría</t>
  </si>
  <si>
    <t>Notas</t>
  </si>
  <si>
    <t>Tarjeta Titular</t>
  </si>
  <si>
    <t>Tienda/Conveniencia</t>
  </si>
  <si>
    <t>RAPPI VERIFICACION - ABONO</t>
  </si>
  <si>
    <t>Delivery</t>
  </si>
  <si>
    <t>Tarjeta Digital</t>
  </si>
  <si>
    <t>Café/Caffenio</t>
  </si>
  <si>
    <t>COSTCO LOS CABOS - ABONO</t>
  </si>
  <si>
    <t>GBM/Inversión</t>
  </si>
  <si>
    <t>09/04/2026</t>
  </si>
  <si>
    <t>Pago online</t>
  </si>
  <si>
    <t>NETFLIX COM</t>
  </si>
  <si>
    <t>13/04/2026</t>
  </si>
  <si>
    <t>GASOL TRANSP 3 ESP</t>
  </si>
  <si>
    <t>18/03/2026</t>
  </si>
  <si>
    <t>20/03/2026</t>
  </si>
  <si>
    <t>COSTCO LOS CABOS (1 de 6 meses)</t>
  </si>
  <si>
    <t>Carnicería</t>
  </si>
  <si>
    <t>25/03/2026</t>
  </si>
  <si>
    <t>ESTACION 2864 DISTRIBUIDORA</t>
  </si>
  <si>
    <t>OXXO CHAMIZAL</t>
  </si>
  <si>
    <t>TOTALES DEL PERÍODO</t>
  </si>
  <si>
    <t>📊  RESUMEN POR CATEGORÍA</t>
  </si>
  <si>
    <t># Movs</t>
  </si>
  <si>
    <t>Total Cargos ($)</t>
  </si>
  <si>
    <t>% del Total</t>
  </si>
  <si>
    <t>Top Descripción</t>
  </si>
  <si>
    <t>🧾  REGISTRO DE PRODUCTOS — Desglose de Tickets</t>
  </si>
  <si>
    <t>📸 Manda la foto de tu ticket al chat → yo extraigo los productos y los agrego aquí automáticamente</t>
  </si>
  <si>
    <t>🧾 Tickets
registrados
—</t>
  </si>
  <si>
    <t>📦 Productos
distintos
—</t>
  </si>
  <si>
    <t>💸 Gasto total
productos
—</t>
  </si>
  <si>
    <t>🏆 Tienda más
frecuente
—</t>
  </si>
  <si>
    <t>Tienda</t>
  </si>
  <si>
    <t>Producto</t>
  </si>
  <si>
    <t>Cantidad</t>
  </si>
  <si>
    <t>Precio Unit.</t>
  </si>
  <si>
    <t>Total</t>
  </si>
  <si>
    <t>POLLO ENTERO KIRKLAND</t>
  </si>
  <si>
    <t>🥩 Carnes y Proteínas</t>
  </si>
  <si>
    <t>LECHE ENTERA KIRKLAND 6PZ</t>
  </si>
  <si>
    <t>🥛 Lácteos y Huevo</t>
  </si>
  <si>
    <t>HUEVO BLANCO 30PZ</t>
  </si>
  <si>
    <t>PAN INTEGRAL BIMBO</t>
  </si>
  <si>
    <t>🍞 Pan y Cereales</t>
  </si>
  <si>
    <t>ACEITE KIRKLAND 3L</t>
  </si>
  <si>
    <t>🥫 Abarrotes/Despensa</t>
  </si>
  <si>
    <t>PAPEL HIGIENICO 30R</t>
  </si>
  <si>
    <t>🧴 Limpieza Hogar</t>
  </si>
  <si>
    <t>YOGURT KIRKLAND 12PZ</t>
  </si>
  <si>
    <t>ATUN KIRKLAND 8PZ</t>
  </si>
  <si>
    <t>DETERGENTE KIRKLAND 8KG</t>
  </si>
  <si>
    <t>QUESO MANCHEGO KG</t>
  </si>
  <si>
    <t>ARROZ MORELOS 5KG</t>
  </si>
  <si>
    <t>CREMA LALA 1KG</t>
  </si>
  <si>
    <t>AGUA EPURA 12PZ</t>
  </si>
  <si>
    <t>🥤 Bebidas</t>
  </si>
  <si>
    <t>CARNE RES MOLIDA 2KG</t>
  </si>
  <si>
    <t>SALMON KIRKLAND 1.5KG</t>
  </si>
  <si>
    <t>SHAMPOO KIRKLAND 1L</t>
  </si>
  <si>
    <t>🧼 Higiene Personal</t>
  </si>
  <si>
    <t>BOLSA BASURA 200PZ</t>
  </si>
  <si>
    <t>GALLETA KIRKLAND</t>
  </si>
  <si>
    <t>Soriana</t>
  </si>
  <si>
    <t>TOMATE BOLA KG</t>
  </si>
  <si>
    <t>🥦 Frutas y Verduras</t>
  </si>
  <si>
    <t>CEBOLLA BLANCA KG</t>
  </si>
  <si>
    <t>PLATANO TABASCO KG</t>
  </si>
  <si>
    <t>ZANAHORIA KG</t>
  </si>
  <si>
    <t>AGUACATE HASS KG</t>
  </si>
  <si>
    <t>JAMON DEL PACIFICO 200G</t>
  </si>
  <si>
    <t>SALSA VALENTINA 370ML</t>
  </si>
  <si>
    <t>FRIJOL NEGRO 1KG</t>
  </si>
  <si>
    <t>REFRESCO COCA-COLA 2L</t>
  </si>
  <si>
    <t>JABON ROMA 750G</t>
  </si>
  <si>
    <t>SAL LA FINA 1KG</t>
  </si>
  <si>
    <t>PAPA BLANCA KG</t>
  </si>
  <si>
    <t>AGUA BOING 600ML</t>
  </si>
  <si>
    <t>SABRITAS ORIGINAL 45G</t>
  </si>
  <si>
    <t>🍿 Botanas y Dulces</t>
  </si>
  <si>
    <t>CHOCOLATE CARLOS V</t>
  </si>
  <si>
    <t>RED BULL 250ML</t>
  </si>
  <si>
    <t>📦 Otros</t>
  </si>
  <si>
    <t>CHICLES TRIDENT</t>
  </si>
  <si>
    <t>REFRESCO COCA-COLA 600ML</t>
  </si>
  <si>
    <t>SABRITAS ADOBADAS 45G</t>
  </si>
  <si>
    <t>GANSITO MARINELA</t>
  </si>
  <si>
    <t>REFRESCO PEPSI 600ML</t>
  </si>
  <si>
    <t>PAPAS RUFFLES 45G</t>
  </si>
  <si>
    <t>CHOCOLATE SNICKERS</t>
  </si>
  <si>
    <t>PRANA CHIA AVENA</t>
  </si>
  <si>
    <t>KS LECHE DESLACTOSADA 12PZ</t>
  </si>
  <si>
    <t>LYSOL TOILET 4PACK</t>
  </si>
  <si>
    <t>AZUCAR MASCABADO</t>
  </si>
  <si>
    <t>AMOR FUSILLI 907G</t>
  </si>
  <si>
    <t>PRETZEL CRUJIENTE 737G</t>
  </si>
  <si>
    <t>ENS. AVOCADO RANCH 2/363G</t>
  </si>
  <si>
    <t>KS ALGA MARINA 10P</t>
  </si>
  <si>
    <t>MAN GALA CHU 1.3KG</t>
  </si>
  <si>
    <t>ATUN POUCH 10/74G</t>
  </si>
  <si>
    <t>KS JAMON COCIDO</t>
  </si>
  <si>
    <t>BIKINI DKNY 5 PZS</t>
  </si>
  <si>
    <t>EJOTE FRANCES ORGANICO</t>
  </si>
  <si>
    <t>MANDARINAS 2.2KG</t>
  </si>
  <si>
    <t>UVA VERDE 1.36KG</t>
  </si>
  <si>
    <t>KS PRETZELS 1.56KG</t>
  </si>
  <si>
    <t>ALITAS MARINADAS 2.744KG</t>
  </si>
  <si>
    <t>BIMBO PAN BLANCO</t>
  </si>
  <si>
    <t>PIERNA Y MUSLO 2.712KG</t>
  </si>
  <si>
    <t>CUPON/DESCUENTO TICKET 1</t>
  </si>
  <si>
    <t>🏷️ Descuentos</t>
  </si>
  <si>
    <t>PAN BARRA CENTENO</t>
  </si>
  <si>
    <t>KS SALCHICHAS RES</t>
  </si>
  <si>
    <t>JUMEXITO 24/200ML</t>
  </si>
  <si>
    <t>CUPON/DESCUENTO TICKET 2</t>
  </si>
  <si>
    <t>AGUA 500ML (Food Court)</t>
  </si>
  <si>
    <t>REFRESCO 600ML (Food Court)</t>
  </si>
  <si>
    <t>12/12/2025</t>
  </si>
  <si>
    <t>CHAMOY MEGA 500GR</t>
  </si>
  <si>
    <t>DORITOS NACHO 61G</t>
  </si>
  <si>
    <t>CHEETOS TORCIDIT 58G</t>
  </si>
  <si>
    <t>SIDRAL MUNDET 600ML</t>
  </si>
  <si>
    <t>TOPOCHICO LIMON 600ML</t>
  </si>
  <si>
    <t>LUCKY STRIKE OR 100S</t>
  </si>
  <si>
    <t>🚬 Tabaco</t>
  </si>
  <si>
    <t>GILLETTE CUERPO 1PZ</t>
  </si>
  <si>
    <t>15/12/2025</t>
  </si>
  <si>
    <t>COCA-COLA NR 600ML</t>
  </si>
  <si>
    <t>21/12/2025</t>
  </si>
  <si>
    <t>PACIFICO CLARA RT12L</t>
  </si>
  <si>
    <t>COCA-COLA 500ML</t>
  </si>
  <si>
    <t>CHOCOLATE KINDER SOR</t>
  </si>
  <si>
    <t>HUEVITO KINDER SORPR</t>
  </si>
  <si>
    <t>23/12/2025</t>
  </si>
  <si>
    <t>REBANADAS GLASS 55GR</t>
  </si>
  <si>
    <t>CAPU MOKA BLANCO GDE</t>
  </si>
  <si>
    <t>30/12/2025</t>
  </si>
  <si>
    <t>HOT NUTS 50GR</t>
  </si>
  <si>
    <t>TAKIS ORIGINAL 80G</t>
  </si>
  <si>
    <t>SABRITAS CYE 160G</t>
  </si>
  <si>
    <t>PAKETAXO XFH 215G</t>
  </si>
  <si>
    <t>02/01/2026</t>
  </si>
  <si>
    <t>CLAMATO CUBANO 473ML</t>
  </si>
  <si>
    <t>PACIFICO LIGHT RT12L</t>
  </si>
  <si>
    <t>03/01/2026</t>
  </si>
  <si>
    <t>TAKIS ORIGINAL 200G</t>
  </si>
  <si>
    <t>BIG MIX QUESO 185G</t>
  </si>
  <si>
    <t>BIG MIX FUEGO 185G</t>
  </si>
  <si>
    <t>CHIPOTLE COSTENA 105G</t>
  </si>
  <si>
    <t>FRIJOLES FRITOS</t>
  </si>
  <si>
    <t>TOSTADA EL FARITO 30PZ</t>
  </si>
  <si>
    <t>04/01/2026</t>
  </si>
  <si>
    <t>CAPU VAINILLA JMB</t>
  </si>
  <si>
    <t>13/01/2026</t>
  </si>
  <si>
    <t>VOLT RED FOCUS 473ML</t>
  </si>
  <si>
    <t>CACAHUATE GARAPIBITZ 100G</t>
  </si>
  <si>
    <t>FR. MIX ENCHILADO 110G</t>
  </si>
  <si>
    <t>15/01/2026</t>
  </si>
  <si>
    <t>COCA-COLA LATA 355ML</t>
  </si>
  <si>
    <t>18/01/2026</t>
  </si>
  <si>
    <t>19/01/2026</t>
  </si>
  <si>
    <t>CACAH. LIM JUMBO 150G</t>
  </si>
  <si>
    <t>24/01/2026</t>
  </si>
  <si>
    <t>VASO GENERICO OXXO</t>
  </si>
  <si>
    <t>29/01/2026</t>
  </si>
  <si>
    <t>NESTEA TE LIMON</t>
  </si>
  <si>
    <t>VOLT DARK 473ML</t>
  </si>
  <si>
    <t>B PUSH POP JUMBO 30G</t>
  </si>
  <si>
    <t>30/01/2026</t>
  </si>
  <si>
    <t>PENAFIEL TWISTLIM 1L</t>
  </si>
  <si>
    <t>BARAJA AMERICANA PLAST</t>
  </si>
  <si>
    <t>🏠 Hogar/Varios</t>
  </si>
  <si>
    <t>01/02/2026</t>
  </si>
  <si>
    <t>TORTILLA HARINA 15PZ</t>
  </si>
  <si>
    <t>CARBON EL CAPORAL 3K</t>
  </si>
  <si>
    <t>03/02/2026</t>
  </si>
  <si>
    <t>ENCENDEDOR CP11RH PZ</t>
  </si>
  <si>
    <t>04/02/2026</t>
  </si>
  <si>
    <t>06/02/2026</t>
  </si>
  <si>
    <t>PINGUINOS 80GR</t>
  </si>
  <si>
    <t>SABRITAS SAL 105G</t>
  </si>
  <si>
    <t>SABRITAS RC JAL 160G</t>
  </si>
  <si>
    <t>PEPSI 600ML</t>
  </si>
  <si>
    <t>25/05/2026</t>
  </si>
  <si>
    <t>Mobil Aguajitos</t>
  </si>
  <si>
    <t>GASOLINA MIN 87 OCTANOS 39.609L</t>
  </si>
  <si>
    <t>⛽ Transporte</t>
  </si>
  <si>
    <t>SALADITAS TABLETA 140G</t>
  </si>
  <si>
    <t>DON FRIJOL EXT PUER 500G</t>
  </si>
  <si>
    <t>TOSTACHOS SALSA VERDE</t>
  </si>
  <si>
    <t>TOTAL REGISTRADO</t>
  </si>
  <si>
    <t>📊  ANÁLISIS DE FRECUENCIA, PRECIOS Y TENDENCIAS</t>
  </si>
  <si>
    <t>🏆  TOP PRODUCTOS MÁS COMPRADOS</t>
  </si>
  <si>
    <t>Veces
comprado</t>
  </si>
  <si>
    <t>Total
gastado</t>
  </si>
  <si>
    <t>Precio
promedio</t>
  </si>
  <si>
    <t>Última
tienda</t>
  </si>
  <si>
    <t>Carnes y Proteínas</t>
  </si>
  <si>
    <t>🥇 POLLO ENTERO KIRKLAND</t>
  </si>
  <si>
    <t>Lácteos y Huevo</t>
  </si>
  <si>
    <t>🥈 CHOCOLATE CARLOS V</t>
  </si>
  <si>
    <t>Abarrotes/Despensa</t>
  </si>
  <si>
    <t>🥉 HUEVO BLANCO 30PZ</t>
  </si>
  <si>
    <t>Limpieza Hogar</t>
  </si>
  <si>
    <t>Frutas y Verduras</t>
  </si>
  <si>
    <t>Higiene Personal</t>
  </si>
  <si>
    <t>Pan y Cereales</t>
  </si>
  <si>
    <t>Bebidas</t>
  </si>
  <si>
    <t>Botanas y Dulces</t>
  </si>
  <si>
    <t>🗂️  GASTO POR CATEGORÍA DE PRODUCTO</t>
  </si>
  <si>
    <t>Artículos
distintos</t>
  </si>
  <si>
    <t>Gasto
total</t>
  </si>
  <si>
    <t>% del
total</t>
  </si>
  <si>
    <t>Frecuencia</t>
  </si>
  <si>
    <t>🏪  COMPARATIVA POR TIENDA</t>
  </si>
  <si>
    <t>Visitas</t>
  </si>
  <si>
    <t>Gasto Total</t>
  </si>
  <si>
    <t>Ticket
Promedio</t>
  </si>
  <si>
    <t>% del gasto</t>
  </si>
  <si>
    <t>📈  EVOLUCIÓN DE PRECIOS (mismo producto, distintas fechas)</t>
  </si>
  <si>
    <t>Fecha más
antigua</t>
  </si>
  <si>
    <t>Precio
antiguo</t>
  </si>
  <si>
    <t>Fecha más
reciente</t>
  </si>
  <si>
    <t>Precio
actual</t>
  </si>
  <si>
    <t>Variación</t>
  </si>
  <si>
    <t>⚠️  ALERTA: LO QUE PAGAS DE MÁS EN OXXO vs COSTCO/SORIANA</t>
  </si>
  <si>
    <t>Precio OXXO</t>
  </si>
  <si>
    <t>Precio Costco/Soriana</t>
  </si>
  <si>
    <t>Sobreprecio ($)</t>
  </si>
  <si>
    <t>Sobreprecio (%)</t>
  </si>
  <si>
    <t>Refresco 600ml</t>
  </si>
  <si>
    <t>14.50 (Soriana 2L÷2)</t>
  </si>
  <si>
    <t>Papas/Snack 45g</t>
  </si>
  <si>
    <t>9.50 (Costco por unidad)</t>
  </si>
  <si>
    <t>Agua 600ml</t>
  </si>
  <si>
    <t>5.50 (Costco Epura/unidad)</t>
  </si>
  <si>
    <t>Chocolate barra</t>
  </si>
  <si>
    <t>8.00 (Costco Kirkland)</t>
  </si>
  <si>
    <t>Bebida energética 250ml</t>
  </si>
  <si>
    <t>28.00 (Soriana)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</si>
</sst>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.00"/>
    <numFmt numFmtId="165" formatCode="0.0%"/>
    <numFmt numFmtId="166" formatCode="\$#,##0"/>
    <numFmt numFmtId="167" formatCode="0.0"/>
    <numFmt numFmtId="168" formatCode="\+0.0%;\-0.0%"/>
  </numFmts>
  <fonts count="54" x14ac:knownFonts="1">
    <font>
      <sz val="11"/>
      <color theme="1"/>
      <name val="Calibri"/>
      <family val="2"/>
      <charset val="1"/>
    </font>
    <font>
      <b/>
      <sz val="17"/>
      <color rgb="FFFFFFFF"/>
      <name val="Arial"/>
      <charset val="1"/>
    </font>
    <font>
      <i/>
      <sz val="9"/>
      <color rgb="FF6B7280"/>
      <name val="Arial"/>
      <charset val="1"/>
    </font>
    <font>
      <b/>
      <sz val="8"/>
      <color rgb="FFFFFFFF"/>
      <name val="Arial"/>
      <charset val="1"/>
    </font>
    <font>
      <b/>
      <sz val="20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charset val="1"/>
    </font>
    <font>
      <sz val="9"/>
      <color rgb="FF1A1A2E"/>
      <name val="Arial"/>
      <charset val="1"/>
    </font>
    <font>
      <b/>
      <sz val="10"/>
      <color rgb="FF1A1A2E"/>
      <name val="Arial"/>
      <charset val="1"/>
    </font>
    <font>
      <sz val="10"/>
      <color rgb="FF1A1A2E"/>
      <name val="Arial"/>
      <charset val="1"/>
    </font>
    <font>
      <i/>
      <sz val="9"/>
      <color rgb="FF1A1A2E"/>
      <name val="Arial"/>
      <charset val="1"/>
    </font>
    <font>
      <b/>
      <sz val="10"/>
      <color rgb="FFC0392B"/>
      <name val="Arial"/>
      <charset val="1"/>
    </font>
    <font>
      <i/>
      <sz val="9"/>
      <color rgb="FFC0392B"/>
      <name val="Arial"/>
      <charset val="1"/>
    </font>
    <font>
      <b/>
      <sz val="10"/>
      <color rgb="FF1E8449"/>
      <name val="Arial"/>
      <charset val="1"/>
    </font>
    <font>
      <b/>
      <sz val="16"/>
      <color rgb="FFFFFFFF"/>
      <name val="Arial"/>
      <charset val="1"/>
    </font>
    <font>
      <sz val="10"/>
      <color rgb="FFC0392B"/>
      <name val="Arial"/>
      <charset val="1"/>
    </font>
    <font>
      <i/>
      <sz val="8"/>
      <color rgb="FF555555"/>
      <name val="Arial"/>
      <charset val="1"/>
    </font>
    <font>
      <b/>
      <sz val="10"/>
      <color rgb="FF95A5A6"/>
      <name val="Arial"/>
      <charset val="1"/>
    </font>
    <font>
      <b/>
      <sz val="11"/>
      <color rgb="FF1A1A2E"/>
      <name val="Arial"/>
      <charset val="1"/>
    </font>
    <font>
      <b/>
      <sz val="9"/>
      <color rgb="FF1A1A2E"/>
      <name val="Arial"/>
      <charset val="1"/>
    </font>
    <font>
      <b/>
      <sz val="9"/>
      <color rgb="FFC0392B"/>
      <name val="Arial"/>
      <charset val="1"/>
    </font>
    <font>
      <sz val="8"/>
      <color rgb="FF1A1A2E"/>
      <name val="Arial"/>
      <charset val="1"/>
    </font>
    <font>
      <i/>
      <sz val="8"/>
      <color rgb="FF1A1A2E"/>
      <name val="Arial"/>
      <charset val="1"/>
    </font>
    <font>
      <b/>
      <sz val="9"/>
      <color rgb="FFE6A817"/>
      <name val="Arial"/>
      <charset val="1"/>
    </font>
    <font>
      <b/>
      <sz val="9"/>
      <color rgb="FF1E8449"/>
      <name val="Arial"/>
      <charset val="1"/>
    </font>
    <font>
      <b/>
      <sz val="15"/>
      <color rgb="FFFFFFFF"/>
      <name val="Arial"/>
      <charset val="1"/>
    </font>
    <font>
      <b/>
      <sz val="10"/>
      <color rgb="FF0000FF"/>
      <name val="Arial"/>
      <charset val="1"/>
    </font>
    <font>
      <sz val="10"/>
      <color rgb="FF0D7377"/>
      <name val="Arial"/>
      <charset val="1"/>
    </font>
    <font>
      <sz val="10"/>
      <color rgb="FF1E8449"/>
      <name val="Arial"/>
      <charset val="1"/>
    </font>
    <font>
      <b/>
      <sz val="18"/>
      <color rgb="FFFFFFFF"/>
      <name val="Arial"/>
      <charset val="1"/>
    </font>
    <font>
      <i/>
      <sz val="10"/>
      <color rgb="FF6B7280"/>
      <name val="Arial"/>
      <charset val="1"/>
    </font>
    <font>
      <b/>
      <sz val="12"/>
      <color rgb="FFFFFFFF"/>
      <name val="Arial"/>
      <charset val="1"/>
    </font>
    <font>
      <b/>
      <sz val="12"/>
      <color rgb="FF1A1A2E"/>
      <name val="Arial"/>
      <charset val="1"/>
    </font>
    <font>
      <b/>
      <sz val="10"/>
      <color rgb="FF1A5E2C"/>
      <name val="Arial"/>
      <charset val="1"/>
    </font>
    <font>
      <sz val="9"/>
      <color rgb="FF9CA3AF"/>
      <name val="Arial"/>
      <charset val="1"/>
    </font>
    <font>
      <b/>
      <sz val="9"/>
      <color rgb="FFFFFFFF"/>
      <name val="Arial"/>
      <charset val="1"/>
    </font>
    <font>
      <b/>
      <sz val="22"/>
      <color rgb="FFFFFFFF"/>
      <name val="Arial"/>
      <charset val="1"/>
    </font>
    <font>
      <b/>
      <sz val="22"/>
      <color rgb="FF1A1A2E"/>
      <name val="Arial"/>
      <charset val="1"/>
    </font>
    <font>
      <sz val="10"/>
      <color rgb="FFE74C3C"/>
      <name val="Arial"/>
      <charset val="1"/>
    </font>
    <font>
      <sz val="10"/>
      <color rgb="FF0000FF"/>
      <name val="Arial"/>
      <charset val="1"/>
    </font>
    <font>
      <sz val="10"/>
      <color rgb="FF27AE60"/>
      <name val="Arial"/>
      <charset val="1"/>
    </font>
    <font>
      <b/>
      <sz val="10"/>
      <color rgb="FF0D7377"/>
      <name val="Arial"/>
      <charset val="1"/>
    </font>
    <font>
      <b/>
      <sz val="10"/>
      <color rgb="FF27AE60"/>
      <name val="Arial"/>
      <charset val="1"/>
    </font>
    <font>
      <sz val="10"/>
      <color rgb="FFCCCCCC"/>
      <name val="Arial"/>
      <charset val="1"/>
    </font>
    <font>
      <b/>
      <sz val="8"/>
      <color rgb="FF1A1A2E"/>
      <name val="Arial"/>
      <charset val="1"/>
    </font>
    <font>
      <sz val="9"/>
      <color rgb="FF1E8449"/>
      <name val="Arial"/>
      <charset val="1"/>
    </font>
    <font>
      <i/>
      <sz val="9"/>
      <color rgb="FFE6A817"/>
      <name val="Arial"/>
      <charset val="1"/>
    </font>
    <font>
      <sz val="9"/>
      <color rgb="FFC0392B"/>
      <name val="Arial"/>
      <charset val="1"/>
    </font>
    <font>
      <sz val="9"/>
      <color rgb="FF0D7377"/>
      <name val="Arial"/>
      <charset val="1"/>
    </font>
    <font>
      <b/>
      <sz val="16"/>
      <color rgb="FF1A1A2E"/>
      <name val="Arial"/>
      <charset val="1"/>
    </font>
    <font>
      <b/>
      <sz val="9"/>
      <color rgb="FF0D7377"/>
      <name val="Arial"/>
      <charset val="1"/>
    </font>
    <font>
      <b/>
      <sz val="9"/>
      <color rgb="FF95A5A6"/>
      <name val="Arial"/>
      <charset val="1"/>
    </font>
    <font>
      <sz val="9"/>
      <color rgb="FF95A5A6"/>
      <name val="Arial"/>
      <charset val="1"/>
    </font>
    <font>
      <sz val="9"/>
      <color rgb="FF1A1A2E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rgb="FFC0392B"/>
        <bgColor rgb="FFA54541"/>
      </patternFill>
    </fill>
    <fill>
      <patternFill patternType="solid">
        <fgColor rgb="FFF4F6F9"/>
        <bgColor rgb="FFF9F9F9"/>
      </patternFill>
    </fill>
    <fill>
      <patternFill patternType="solid">
        <fgColor rgb="FFD35400"/>
        <bgColor rgb="FFE74C3C"/>
      </patternFill>
    </fill>
    <fill>
      <patternFill patternType="solid">
        <fgColor rgb="FF1E3A5F"/>
        <bgColor rgb="FF1A5276"/>
      </patternFill>
    </fill>
    <fill>
      <patternFill patternType="solid">
        <fgColor rgb="FFFFFFFF"/>
        <bgColor rgb="FFF9F9F9"/>
      </patternFill>
    </fill>
    <fill>
      <patternFill patternType="solid">
        <fgColor rgb="FFD5F5E3"/>
        <bgColor rgb="FFD6EAF8"/>
      </patternFill>
    </fill>
    <fill>
      <patternFill patternType="solid">
        <fgColor rgb="FFFADBD8"/>
        <bgColor rgb="FFFDEBD0"/>
      </patternFill>
    </fill>
    <fill>
      <patternFill patternType="solid">
        <fgColor rgb="FFFFF3CD"/>
        <bgColor rgb="FFFDEBD0"/>
      </patternFill>
    </fill>
    <fill>
      <patternFill patternType="solid">
        <fgColor rgb="FFEAF2FF"/>
        <bgColor rgb="FFEBF5FB"/>
      </patternFill>
    </fill>
    <fill>
      <patternFill patternType="solid">
        <fgColor rgb="FFD0F0C0"/>
        <bgColor rgb="FFD5F5E3"/>
      </patternFill>
    </fill>
    <fill>
      <patternFill patternType="solid">
        <fgColor rgb="FF1E8449"/>
        <bgColor rgb="FF0D7377"/>
      </patternFill>
    </fill>
    <fill>
      <patternFill patternType="solid">
        <fgColor rgb="FF0D7377"/>
        <bgColor rgb="FF1E8449"/>
      </patternFill>
    </fill>
    <fill>
      <patternFill patternType="solid">
        <fgColor rgb="FFE6A817"/>
        <bgColor rgb="FFF2A900"/>
      </patternFill>
    </fill>
    <fill>
      <patternFill patternType="solid">
        <fgColor rgb="FFF2A900"/>
        <bgColor rgb="FFE6A817"/>
      </patternFill>
    </fill>
    <fill>
      <patternFill patternType="solid">
        <fgColor rgb="FFB7E4C7"/>
        <bgColor rgb="FFD0F0C0"/>
      </patternFill>
    </fill>
    <fill>
      <patternFill patternType="solid">
        <fgColor rgb="FFFFF9E6"/>
        <bgColor rgb="FFFEF9E7"/>
      </patternFill>
    </fill>
    <fill>
      <patternFill patternType="solid">
        <fgColor rgb="FFFEF9E7"/>
        <bgColor rgb="FFFFF9E6"/>
      </patternFill>
    </fill>
    <fill>
      <patternFill patternType="solid">
        <fgColor rgb="FFD6EAF8"/>
        <bgColor rgb="FFD5F5E3"/>
      </patternFill>
    </fill>
    <fill>
      <patternFill patternType="solid">
        <fgColor rgb="FFFDEBD0"/>
        <bgColor rgb="FFFFF3CD"/>
      </patternFill>
    </fill>
    <fill>
      <patternFill patternType="solid">
        <fgColor rgb="FFEBF5FB"/>
        <bgColor rgb="FFEAF2FF"/>
      </patternFill>
    </fill>
    <fill>
      <patternFill patternType="solid">
        <fgColor rgb="FFFF6B6B"/>
        <bgColor rgb="FFE74C3C"/>
      </patternFill>
    </fill>
    <fill>
      <patternFill patternType="solid">
        <fgColor rgb="FF27AE60"/>
        <bgColor rgb="FF1E8449"/>
      </patternFill>
    </fill>
    <fill>
      <patternFill patternType="solid">
        <fgColor rgb="FFFEF9EC"/>
        <bgColor rgb="FFFEF9E7"/>
      </patternFill>
    </fill>
    <fill>
      <patternFill patternType="solid">
        <fgColor rgb="FFFFF0F0"/>
        <bgColor rgb="FFFEF9EC"/>
      </patternFill>
    </fill>
    <fill>
      <patternFill patternType="solid">
        <fgColor rgb="FFE8F8F5"/>
        <bgColor rgb="FFEBF5FB"/>
      </patternFill>
    </fill>
    <fill>
      <patternFill patternType="solid">
        <fgColor rgb="FF6C3483"/>
        <bgColor rgb="FF745B93"/>
      </patternFill>
    </fill>
    <fill>
      <patternFill patternType="solid">
        <fgColor rgb="FF1A5276"/>
        <bgColor rgb="FF1E3A5F"/>
      </patternFill>
    </fill>
  </fills>
  <borders count="18">
    <border>
      <left/>
      <right/>
      <top/>
      <bottom/>
      <diagonal/>
    </border>
    <border>
      <left style="medium">
        <color rgb="FFC0392B"/>
      </left>
      <right/>
      <top style="medium">
        <color rgb="FFC0392B"/>
      </top>
      <bottom style="medium">
        <color rgb="FFC0392B"/>
      </bottom>
      <diagonal/>
    </border>
    <border>
      <left style="medium">
        <color rgb="FF1E3A5F"/>
      </left>
      <right style="medium">
        <color rgb="FF1E3A5F"/>
      </right>
      <top style="medium">
        <color rgb="FF1E3A5F"/>
      </top>
      <bottom style="medium">
        <color rgb="FF1E3A5F"/>
      </bottom>
      <diagonal/>
    </border>
    <border>
      <left style="thin">
        <color rgb="FFD0D6E0"/>
      </left>
      <right style="thin">
        <color rgb="FFD0D6E0"/>
      </right>
      <top style="thin">
        <color rgb="FFD0D6E0"/>
      </top>
      <bottom style="thin">
        <color rgb="FFD0D6E0"/>
      </bottom>
      <diagonal/>
    </border>
    <border>
      <left style="medium">
        <color rgb="FFD35400"/>
      </left>
      <right/>
      <top style="medium">
        <color rgb="FFD35400"/>
      </top>
      <bottom style="medium">
        <color rgb="FFD35400"/>
      </bottom>
      <diagonal/>
    </border>
    <border>
      <left style="thin">
        <color rgb="FFD0D6E0"/>
      </left>
      <right/>
      <top style="thin">
        <color rgb="FFD0D6E0"/>
      </top>
      <bottom style="thin">
        <color rgb="FFD0D6E0"/>
      </bottom>
      <diagonal/>
    </border>
    <border>
      <left style="medium">
        <color rgb="FF1E3A5F"/>
      </left>
      <right/>
      <top style="medium">
        <color rgb="FF1E3A5F"/>
      </top>
      <bottom style="medium">
        <color rgb="FF1E3A5F"/>
      </bottom>
      <diagonal/>
    </border>
    <border>
      <left style="medium">
        <color rgb="FF0D7377"/>
      </left>
      <right style="medium">
        <color rgb="FF0D7377"/>
      </right>
      <top style="medium">
        <color rgb="FF0D7377"/>
      </top>
      <bottom style="medium">
        <color rgb="FF0D7377"/>
      </bottom>
      <diagonal/>
    </border>
    <border>
      <left style="medium">
        <color rgb="FFE6A817"/>
      </left>
      <right/>
      <top style="medium">
        <color rgb="FFE6A817"/>
      </top>
      <bottom style="medium">
        <color rgb="FFE6A817"/>
      </bottom>
      <diagonal/>
    </border>
    <border>
      <left style="medium">
        <color rgb="FF1E8449"/>
      </left>
      <right/>
      <top style="medium">
        <color rgb="FF1E8449"/>
      </top>
      <bottom style="medium">
        <color rgb="FF1E8449"/>
      </bottom>
      <diagonal/>
    </border>
    <border>
      <left style="medium">
        <color rgb="FFF2A900"/>
      </left>
      <right/>
      <top style="medium">
        <color rgb="FFF2A900"/>
      </top>
      <bottom style="medium">
        <color rgb="FFF2A900"/>
      </bottom>
      <diagonal/>
    </border>
    <border>
      <left style="medium">
        <color rgb="FF0D7377"/>
      </left>
      <right/>
      <top style="medium">
        <color rgb="FF0D7377"/>
      </top>
      <bottom style="medium">
        <color rgb="FF0D7377"/>
      </bottom>
      <diagonal/>
    </border>
    <border>
      <left style="medium">
        <color rgb="FFC0392B"/>
      </left>
      <right style="medium">
        <color rgb="FFC0392B"/>
      </right>
      <top style="medium">
        <color rgb="FFC0392B"/>
      </top>
      <bottom style="medium">
        <color rgb="FFC0392B"/>
      </bottom>
      <diagonal/>
    </border>
    <border>
      <left style="medium">
        <color rgb="FFE6A817"/>
      </left>
      <right style="medium">
        <color rgb="FFE6A817"/>
      </right>
      <top style="medium">
        <color rgb="FFE6A817"/>
      </top>
      <bottom style="medium">
        <color rgb="FFE6A817"/>
      </bottom>
      <diagonal/>
    </border>
    <border>
      <left/>
      <right/>
      <top style="medium">
        <color rgb="FF1E3A5F"/>
      </top>
      <bottom style="medium">
        <color rgb="FF1E3A5F"/>
      </bottom>
      <diagonal/>
    </border>
    <border>
      <left style="medium">
        <color rgb="FF6C3483"/>
      </left>
      <right style="medium">
        <color rgb="FF6C3483"/>
      </right>
      <top style="medium">
        <color rgb="FF6C3483"/>
      </top>
      <bottom style="medium">
        <color rgb="FF6C3483"/>
      </bottom>
      <diagonal/>
    </border>
    <border>
      <left style="medium">
        <color rgb="FF1A5276"/>
      </left>
      <right style="medium">
        <color rgb="FF1A5276"/>
      </right>
      <top style="medium">
        <color rgb="FF1A5276"/>
      </top>
      <bottom style="medium">
        <color rgb="FF1A5276"/>
      </bottom>
      <diagonal/>
    </border>
    <border>
      <left style="medium">
        <color rgb="FFD35400"/>
      </left>
      <right style="medium">
        <color rgb="FFD35400"/>
      </right>
      <top style="medium">
        <color rgb="FFD35400"/>
      </top>
      <bottom style="medium">
        <color rgb="FFD35400"/>
      </bottom>
      <diagonal/>
    </border>
  </borders>
  <cellStyleXfs count="1">
    <xf numFmtId="0" fontId="0" fillId="0" borderId="0"/>
  </cellStyleXfs>
  <cellXfs count="227">
    <xf numFmtId="0" fontId="0" fillId="0" borderId="0" xfId="0"/>
    <xf numFmtId="0" fontId="8" fillId="14" borderId="8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18" fillId="14" borderId="8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left" vertical="center"/>
    </xf>
    <xf numFmtId="0" fontId="8" fillId="3" borderId="5" xfId="0" applyFont="1" applyFill="1" applyBorder="1" applyAlignment="1">
      <alignment horizontal="left" vertical="center"/>
    </xf>
    <xf numFmtId="0" fontId="5" fillId="5" borderId="6" xfId="0" applyFont="1" applyFill="1" applyBorder="1" applyAlignment="1">
      <alignment horizontal="center" vertical="center"/>
    </xf>
    <xf numFmtId="0" fontId="14" fillId="12" borderId="0" xfId="0" applyFont="1" applyFill="1" applyAlignment="1">
      <alignment horizontal="center" vertical="center"/>
    </xf>
    <xf numFmtId="0" fontId="10" fillId="8" borderId="5" xfId="0" applyFont="1" applyFill="1" applyBorder="1" applyAlignment="1">
      <alignment horizontal="left" vertical="center" wrapText="1"/>
    </xf>
    <xf numFmtId="0" fontId="6" fillId="4" borderId="4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2" borderId="0" xfId="0" applyFill="1"/>
    <xf numFmtId="0" fontId="0" fillId="4" borderId="0" xfId="0" applyFill="1"/>
    <xf numFmtId="0" fontId="3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left" vertical="center"/>
    </xf>
    <xf numFmtId="164" fontId="8" fillId="6" borderId="3" xfId="0" applyNumberFormat="1" applyFont="1" applyFill="1" applyBorder="1" applyAlignment="1">
      <alignment horizontal="right" vertical="center"/>
    </xf>
    <xf numFmtId="165" fontId="9" fillId="6" borderId="3" xfId="0" applyNumberFormat="1" applyFont="1" applyFill="1" applyBorder="1" applyAlignment="1">
      <alignment horizontal="right" vertical="center"/>
    </xf>
    <xf numFmtId="0" fontId="10" fillId="7" borderId="3" xfId="0" applyFont="1" applyFill="1" applyBorder="1" applyAlignment="1">
      <alignment horizontal="left" vertical="center" wrapText="1"/>
    </xf>
    <xf numFmtId="0" fontId="7" fillId="3" borderId="3" xfId="0" applyFont="1" applyFill="1" applyBorder="1" applyAlignment="1">
      <alignment horizontal="left" vertical="center"/>
    </xf>
    <xf numFmtId="164" fontId="8" fillId="3" borderId="3" xfId="0" applyNumberFormat="1" applyFont="1" applyFill="1" applyBorder="1" applyAlignment="1">
      <alignment horizontal="right" vertical="center"/>
    </xf>
    <xf numFmtId="165" fontId="9" fillId="3" borderId="3" xfId="0" applyNumberFormat="1" applyFont="1" applyFill="1" applyBorder="1" applyAlignment="1">
      <alignment horizontal="right" vertical="center"/>
    </xf>
    <xf numFmtId="164" fontId="11" fillId="6" borderId="3" xfId="0" applyNumberFormat="1" applyFont="1" applyFill="1" applyBorder="1" applyAlignment="1">
      <alignment horizontal="right" vertical="center"/>
    </xf>
    <xf numFmtId="0" fontId="12" fillId="8" borderId="3" xfId="0" applyFont="1" applyFill="1" applyBorder="1" applyAlignment="1">
      <alignment horizontal="left" vertical="center" wrapText="1"/>
    </xf>
    <xf numFmtId="164" fontId="11" fillId="3" borderId="3" xfId="0" applyNumberFormat="1" applyFont="1" applyFill="1" applyBorder="1" applyAlignment="1">
      <alignment horizontal="right" vertical="center"/>
    </xf>
    <xf numFmtId="0" fontId="10" fillId="9" borderId="3" xfId="0" applyFont="1" applyFill="1" applyBorder="1" applyAlignment="1">
      <alignment horizontal="left" vertical="center" wrapText="1"/>
    </xf>
    <xf numFmtId="0" fontId="10" fillId="10" borderId="3" xfId="0" applyFont="1" applyFill="1" applyBorder="1" applyAlignment="1">
      <alignment horizontal="left" vertical="center" wrapText="1"/>
    </xf>
    <xf numFmtId="164" fontId="13" fillId="3" borderId="3" xfId="0" applyNumberFormat="1" applyFont="1" applyFill="1" applyBorder="1" applyAlignment="1">
      <alignment horizontal="right" vertical="center"/>
    </xf>
    <xf numFmtId="0" fontId="10" fillId="11" borderId="3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left" vertical="center"/>
    </xf>
    <xf numFmtId="164" fontId="6" fillId="5" borderId="2" xfId="0" applyNumberFormat="1" applyFont="1" applyFill="1" applyBorder="1" applyAlignment="1">
      <alignment horizontal="right" vertical="center"/>
    </xf>
    <xf numFmtId="165" fontId="6" fillId="5" borderId="2" xfId="0" applyNumberFormat="1" applyFont="1" applyFill="1" applyBorder="1" applyAlignment="1">
      <alignment horizontal="right" vertical="center"/>
    </xf>
    <xf numFmtId="0" fontId="6" fillId="5" borderId="2" xfId="0" applyFont="1" applyFill="1" applyBorder="1" applyAlignment="1">
      <alignment horizontal="right" vertical="center"/>
    </xf>
    <xf numFmtId="0" fontId="6" fillId="13" borderId="7" xfId="0" applyFont="1" applyFill="1" applyBorder="1" applyAlignment="1">
      <alignment horizontal="center" vertical="center"/>
    </xf>
    <xf numFmtId="166" fontId="15" fillId="6" borderId="3" xfId="0" applyNumberFormat="1" applyFont="1" applyFill="1" applyBorder="1" applyAlignment="1">
      <alignment horizontal="right" vertical="center"/>
    </xf>
    <xf numFmtId="166" fontId="13" fillId="6" borderId="3" xfId="0" applyNumberFormat="1" applyFont="1" applyFill="1" applyBorder="1" applyAlignment="1">
      <alignment horizontal="right" vertical="center"/>
    </xf>
    <xf numFmtId="166" fontId="13" fillId="7" borderId="3" xfId="0" applyNumberFormat="1" applyFont="1" applyFill="1" applyBorder="1" applyAlignment="1">
      <alignment horizontal="right" vertical="center"/>
    </xf>
    <xf numFmtId="0" fontId="16" fillId="6" borderId="3" xfId="0" applyFont="1" applyFill="1" applyBorder="1" applyAlignment="1">
      <alignment horizontal="left" vertical="center" wrapText="1"/>
    </xf>
    <xf numFmtId="166" fontId="15" fillId="3" borderId="3" xfId="0" applyNumberFormat="1" applyFont="1" applyFill="1" applyBorder="1" applyAlignment="1">
      <alignment horizontal="right" vertical="center"/>
    </xf>
    <xf numFmtId="166" fontId="13" fillId="3" borderId="3" xfId="0" applyNumberFormat="1" applyFont="1" applyFill="1" applyBorder="1" applyAlignment="1">
      <alignment horizontal="right" vertical="center"/>
    </xf>
    <xf numFmtId="0" fontId="16" fillId="3" borderId="3" xfId="0" applyFont="1" applyFill="1" applyBorder="1" applyAlignment="1">
      <alignment horizontal="left" vertical="center" wrapText="1"/>
    </xf>
    <xf numFmtId="166" fontId="9" fillId="3" borderId="3" xfId="0" applyNumberFormat="1" applyFont="1" applyFill="1" applyBorder="1" applyAlignment="1">
      <alignment horizontal="right" vertical="center"/>
    </xf>
    <xf numFmtId="166" fontId="17" fillId="3" borderId="3" xfId="0" applyNumberFormat="1" applyFont="1" applyFill="1" applyBorder="1" applyAlignment="1">
      <alignment horizontal="right" vertical="center"/>
    </xf>
    <xf numFmtId="166" fontId="9" fillId="6" borderId="3" xfId="0" applyNumberFormat="1" applyFont="1" applyFill="1" applyBorder="1" applyAlignment="1">
      <alignment horizontal="right" vertical="center"/>
    </xf>
    <xf numFmtId="166" fontId="17" fillId="6" borderId="3" xfId="0" applyNumberFormat="1" applyFont="1" applyFill="1" applyBorder="1" applyAlignment="1">
      <alignment horizontal="right" vertical="center"/>
    </xf>
    <xf numFmtId="166" fontId="11" fillId="8" borderId="3" xfId="0" applyNumberFormat="1" applyFont="1" applyFill="1" applyBorder="1" applyAlignment="1">
      <alignment horizontal="right" vertical="center"/>
    </xf>
    <xf numFmtId="166" fontId="6" fillId="5" borderId="2" xfId="0" applyNumberFormat="1" applyFont="1" applyFill="1" applyBorder="1" applyAlignment="1">
      <alignment horizontal="right" vertical="center"/>
    </xf>
    <xf numFmtId="0" fontId="19" fillId="6" borderId="3" xfId="0" applyFont="1" applyFill="1" applyBorder="1" applyAlignment="1">
      <alignment horizontal="left" vertical="center" wrapText="1"/>
    </xf>
    <xf numFmtId="0" fontId="20" fillId="6" borderId="3" xfId="0" applyFont="1" applyFill="1" applyBorder="1" applyAlignment="1">
      <alignment horizontal="left" vertical="center" wrapText="1"/>
    </xf>
    <xf numFmtId="0" fontId="21" fillId="6" borderId="3" xfId="0" applyFont="1" applyFill="1" applyBorder="1" applyAlignment="1">
      <alignment horizontal="left" vertical="center" wrapText="1"/>
    </xf>
    <xf numFmtId="0" fontId="22" fillId="6" borderId="3" xfId="0" applyFont="1" applyFill="1" applyBorder="1" applyAlignment="1">
      <alignment horizontal="left" vertical="center" wrapText="1"/>
    </xf>
    <xf numFmtId="0" fontId="19" fillId="3" borderId="3" xfId="0" applyFont="1" applyFill="1" applyBorder="1" applyAlignment="1">
      <alignment horizontal="left" vertical="center" wrapText="1"/>
    </xf>
    <xf numFmtId="0" fontId="20" fillId="3" borderId="3" xfId="0" applyFont="1" applyFill="1" applyBorder="1" applyAlignment="1">
      <alignment horizontal="left" vertical="center" wrapText="1"/>
    </xf>
    <xf numFmtId="0" fontId="21" fillId="3" borderId="3" xfId="0" applyFont="1" applyFill="1" applyBorder="1" applyAlignment="1">
      <alignment horizontal="left" vertical="center" wrapText="1"/>
    </xf>
    <xf numFmtId="0" fontId="22" fillId="3" borderId="3" xfId="0" applyFont="1" applyFill="1" applyBorder="1" applyAlignment="1">
      <alignment horizontal="left" vertical="center" wrapText="1"/>
    </xf>
    <xf numFmtId="0" fontId="23" fillId="6" borderId="3" xfId="0" applyFont="1" applyFill="1" applyBorder="1" applyAlignment="1">
      <alignment horizontal="left" vertical="center" wrapText="1"/>
    </xf>
    <xf numFmtId="0" fontId="23" fillId="3" borderId="3" xfId="0" applyFont="1" applyFill="1" applyBorder="1" applyAlignment="1">
      <alignment horizontal="left" vertical="center" wrapText="1"/>
    </xf>
    <xf numFmtId="0" fontId="24" fillId="6" borderId="3" xfId="0" applyFont="1" applyFill="1" applyBorder="1" applyAlignment="1">
      <alignment horizontal="left" vertical="center" wrapText="1"/>
    </xf>
    <xf numFmtId="0" fontId="24" fillId="3" borderId="3" xfId="0" applyFont="1" applyFill="1" applyBorder="1" applyAlignment="1">
      <alignment horizontal="left" vertical="center" wrapText="1"/>
    </xf>
    <xf numFmtId="0" fontId="6" fillId="5" borderId="6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left" vertical="center"/>
    </xf>
    <xf numFmtId="164" fontId="26" fillId="6" borderId="3" xfId="0" applyNumberFormat="1" applyFont="1" applyFill="1" applyBorder="1" applyAlignment="1">
      <alignment horizontal="right" vertical="center"/>
    </xf>
    <xf numFmtId="0" fontId="9" fillId="3" borderId="3" xfId="0" applyFont="1" applyFill="1" applyBorder="1" applyAlignment="1">
      <alignment horizontal="left" vertical="center"/>
    </xf>
    <xf numFmtId="164" fontId="26" fillId="3" borderId="3" xfId="0" applyNumberFormat="1" applyFont="1" applyFill="1" applyBorder="1" applyAlignment="1">
      <alignment horizontal="right" vertical="center"/>
    </xf>
    <xf numFmtId="10" fontId="26" fillId="6" borderId="3" xfId="0" applyNumberFormat="1" applyFont="1" applyFill="1" applyBorder="1" applyAlignment="1">
      <alignment horizontal="right" vertical="center"/>
    </xf>
    <xf numFmtId="10" fontId="26" fillId="3" borderId="3" xfId="0" applyNumberFormat="1" applyFont="1" applyFill="1" applyBorder="1" applyAlignment="1">
      <alignment horizontal="right" vertical="center"/>
    </xf>
    <xf numFmtId="0" fontId="6" fillId="5" borderId="2" xfId="0" applyFont="1" applyFill="1" applyBorder="1" applyAlignment="1">
      <alignment horizontal="center" vertical="center" wrapText="1"/>
    </xf>
    <xf numFmtId="0" fontId="19" fillId="6" borderId="3" xfId="0" applyFont="1" applyFill="1" applyBorder="1" applyAlignment="1">
      <alignment horizontal="left" vertical="center"/>
    </xf>
    <xf numFmtId="164" fontId="15" fillId="6" borderId="3" xfId="0" applyNumberFormat="1" applyFont="1" applyFill="1" applyBorder="1" applyAlignment="1">
      <alignment horizontal="right" vertical="center"/>
    </xf>
    <xf numFmtId="164" fontId="9" fillId="6" borderId="3" xfId="0" applyNumberFormat="1" applyFont="1" applyFill="1" applyBorder="1" applyAlignment="1">
      <alignment horizontal="right" vertical="center"/>
    </xf>
    <xf numFmtId="164" fontId="27" fillId="6" borderId="3" xfId="0" applyNumberFormat="1" applyFont="1" applyFill="1" applyBorder="1" applyAlignment="1">
      <alignment horizontal="right" vertical="center"/>
    </xf>
    <xf numFmtId="164" fontId="28" fillId="6" borderId="3" xfId="0" applyNumberFormat="1" applyFont="1" applyFill="1" applyBorder="1" applyAlignment="1">
      <alignment horizontal="right" vertical="center"/>
    </xf>
    <xf numFmtId="0" fontId="19" fillId="3" borderId="3" xfId="0" applyFont="1" applyFill="1" applyBorder="1" applyAlignment="1">
      <alignment horizontal="left" vertical="center"/>
    </xf>
    <xf numFmtId="164" fontId="15" fillId="3" borderId="3" xfId="0" applyNumberFormat="1" applyFont="1" applyFill="1" applyBorder="1" applyAlignment="1">
      <alignment horizontal="right" vertical="center"/>
    </xf>
    <xf numFmtId="164" fontId="9" fillId="3" borderId="3" xfId="0" applyNumberFormat="1" applyFont="1" applyFill="1" applyBorder="1" applyAlignment="1">
      <alignment horizontal="right" vertical="center"/>
    </xf>
    <xf numFmtId="164" fontId="27" fillId="3" borderId="3" xfId="0" applyNumberFormat="1" applyFont="1" applyFill="1" applyBorder="1" applyAlignment="1">
      <alignment horizontal="right" vertical="center"/>
    </xf>
    <xf numFmtId="164" fontId="28" fillId="3" borderId="3" xfId="0" applyNumberFormat="1" applyFont="1" applyFill="1" applyBorder="1" applyAlignment="1">
      <alignment horizontal="right" vertical="center"/>
    </xf>
    <xf numFmtId="0" fontId="8" fillId="6" borderId="3" xfId="0" applyFont="1" applyFill="1" applyBorder="1" applyAlignment="1">
      <alignment horizontal="left" vertical="center"/>
    </xf>
    <xf numFmtId="9" fontId="26" fillId="6" borderId="3" xfId="0" applyNumberFormat="1" applyFont="1" applyFill="1" applyBorder="1" applyAlignment="1">
      <alignment horizontal="right" vertical="center"/>
    </xf>
    <xf numFmtId="9" fontId="26" fillId="3" borderId="3" xfId="0" applyNumberFormat="1" applyFont="1" applyFill="1" applyBorder="1" applyAlignment="1">
      <alignment horizontal="right" vertical="center"/>
    </xf>
    <xf numFmtId="0" fontId="26" fillId="6" borderId="3" xfId="0" applyFont="1" applyFill="1" applyBorder="1" applyAlignment="1">
      <alignment horizontal="right" vertical="center"/>
    </xf>
    <xf numFmtId="0" fontId="31" fillId="5" borderId="2" xfId="0" applyFont="1" applyFill="1" applyBorder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30" fillId="3" borderId="3" xfId="0" applyFont="1" applyFill="1" applyBorder="1" applyAlignment="1">
      <alignment horizontal="center" vertical="center"/>
    </xf>
    <xf numFmtId="0" fontId="33" fillId="16" borderId="3" xfId="0" applyFont="1" applyFill="1" applyBorder="1" applyAlignment="1">
      <alignment horizontal="left" vertical="center"/>
    </xf>
    <xf numFmtId="164" fontId="33" fillId="16" borderId="3" xfId="0" applyNumberFormat="1" applyFont="1" applyFill="1" applyBorder="1" applyAlignment="1">
      <alignment horizontal="right" vertical="center"/>
    </xf>
    <xf numFmtId="0" fontId="34" fillId="6" borderId="3" xfId="0" applyFont="1" applyFill="1" applyBorder="1" applyAlignment="1">
      <alignment horizontal="center" vertical="center"/>
    </xf>
    <xf numFmtId="164" fontId="20" fillId="6" borderId="3" xfId="0" applyNumberFormat="1" applyFont="1" applyFill="1" applyBorder="1" applyAlignment="1">
      <alignment horizontal="right" vertical="center"/>
    </xf>
    <xf numFmtId="164" fontId="7" fillId="6" borderId="3" xfId="0" applyNumberFormat="1" applyFont="1" applyFill="1" applyBorder="1" applyAlignment="1">
      <alignment horizontal="right" vertical="center"/>
    </xf>
    <xf numFmtId="0" fontId="34" fillId="3" borderId="3" xfId="0" applyFont="1" applyFill="1" applyBorder="1" applyAlignment="1">
      <alignment horizontal="center" vertical="center"/>
    </xf>
    <xf numFmtId="164" fontId="20" fillId="3" borderId="3" xfId="0" applyNumberFormat="1" applyFont="1" applyFill="1" applyBorder="1" applyAlignment="1">
      <alignment horizontal="right" vertical="center"/>
    </xf>
    <xf numFmtId="164" fontId="7" fillId="3" borderId="3" xfId="0" applyNumberFormat="1" applyFont="1" applyFill="1" applyBorder="1" applyAlignment="1">
      <alignment horizontal="right" vertical="center"/>
    </xf>
    <xf numFmtId="0" fontId="34" fillId="18" borderId="3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 vertical="center"/>
    </xf>
    <xf numFmtId="164" fontId="20" fillId="18" borderId="3" xfId="0" applyNumberFormat="1" applyFont="1" applyFill="1" applyBorder="1" applyAlignment="1">
      <alignment horizontal="right" vertical="center"/>
    </xf>
    <xf numFmtId="164" fontId="7" fillId="18" borderId="3" xfId="0" applyNumberFormat="1" applyFont="1" applyFill="1" applyBorder="1" applyAlignment="1">
      <alignment horizontal="right" vertical="center"/>
    </xf>
    <xf numFmtId="0" fontId="34" fillId="19" borderId="3" xfId="0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horizontal="left" vertical="center"/>
    </xf>
    <xf numFmtId="164" fontId="7" fillId="19" borderId="3" xfId="0" applyNumberFormat="1" applyFont="1" applyFill="1" applyBorder="1" applyAlignment="1">
      <alignment horizontal="right" vertical="center"/>
    </xf>
    <xf numFmtId="164" fontId="24" fillId="19" borderId="3" xfId="0" applyNumberFormat="1" applyFont="1" applyFill="1" applyBorder="1" applyAlignment="1">
      <alignment horizontal="right" vertical="center"/>
    </xf>
    <xf numFmtId="0" fontId="34" fillId="20" borderId="3" xfId="0" applyFont="1" applyFill="1" applyBorder="1" applyAlignment="1">
      <alignment horizontal="center" vertical="center"/>
    </xf>
    <xf numFmtId="0" fontId="7" fillId="20" borderId="3" xfId="0" applyFont="1" applyFill="1" applyBorder="1" applyAlignment="1">
      <alignment horizontal="left" vertical="center"/>
    </xf>
    <xf numFmtId="164" fontId="20" fillId="20" borderId="3" xfId="0" applyNumberFormat="1" applyFont="1" applyFill="1" applyBorder="1" applyAlignment="1">
      <alignment horizontal="right" vertical="center"/>
    </xf>
    <xf numFmtId="164" fontId="7" fillId="20" borderId="3" xfId="0" applyNumberFormat="1" applyFont="1" applyFill="1" applyBorder="1" applyAlignment="1">
      <alignment horizontal="right" vertical="center"/>
    </xf>
    <xf numFmtId="0" fontId="34" fillId="21" borderId="3" xfId="0" applyFont="1" applyFill="1" applyBorder="1" applyAlignment="1">
      <alignment horizontal="center" vertical="center"/>
    </xf>
    <xf numFmtId="0" fontId="7" fillId="21" borderId="3" xfId="0" applyFont="1" applyFill="1" applyBorder="1" applyAlignment="1">
      <alignment horizontal="left" vertical="center"/>
    </xf>
    <xf numFmtId="164" fontId="7" fillId="21" borderId="3" xfId="0" applyNumberFormat="1" applyFont="1" applyFill="1" applyBorder="1" applyAlignment="1">
      <alignment horizontal="right" vertical="center"/>
    </xf>
    <xf numFmtId="164" fontId="24" fillId="21" borderId="3" xfId="0" applyNumberFormat="1" applyFont="1" applyFill="1" applyBorder="1" applyAlignment="1">
      <alignment horizontal="right" vertical="center"/>
    </xf>
    <xf numFmtId="0" fontId="34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left" vertical="center"/>
    </xf>
    <xf numFmtId="164" fontId="20" fillId="7" borderId="3" xfId="0" applyNumberFormat="1" applyFont="1" applyFill="1" applyBorder="1" applyAlignment="1">
      <alignment horizontal="right" vertical="center"/>
    </xf>
    <xf numFmtId="164" fontId="7" fillId="7" borderId="3" xfId="0" applyNumberFormat="1" applyFont="1" applyFill="1" applyBorder="1" applyAlignment="1">
      <alignment horizontal="right" vertical="center"/>
    </xf>
    <xf numFmtId="164" fontId="0" fillId="0" borderId="0" xfId="0" applyNumberFormat="1"/>
    <xf numFmtId="164" fontId="38" fillId="6" borderId="3" xfId="0" applyNumberFormat="1" applyFont="1" applyFill="1" applyBorder="1" applyAlignment="1">
      <alignment horizontal="right" vertical="center"/>
    </xf>
    <xf numFmtId="164" fontId="39" fillId="6" borderId="3" xfId="0" applyNumberFormat="1" applyFont="1" applyFill="1" applyBorder="1" applyAlignment="1">
      <alignment horizontal="right" vertical="center"/>
    </xf>
    <xf numFmtId="0" fontId="9" fillId="6" borderId="3" xfId="0" applyFont="1" applyFill="1" applyBorder="1" applyAlignment="1">
      <alignment horizontal="center" vertical="center"/>
    </xf>
    <xf numFmtId="164" fontId="38" fillId="3" borderId="3" xfId="0" applyNumberFormat="1" applyFont="1" applyFill="1" applyBorder="1" applyAlignment="1">
      <alignment horizontal="right" vertical="center"/>
    </xf>
    <xf numFmtId="164" fontId="39" fillId="3" borderId="3" xfId="0" applyNumberFormat="1" applyFont="1" applyFill="1" applyBorder="1" applyAlignment="1">
      <alignment horizontal="right" vertical="center"/>
    </xf>
    <xf numFmtId="0" fontId="9" fillId="3" borderId="3" xfId="0" applyFont="1" applyFill="1" applyBorder="1" applyAlignment="1">
      <alignment horizontal="center" vertical="center"/>
    </xf>
    <xf numFmtId="0" fontId="6" fillId="5" borderId="2" xfId="0" applyFont="1" applyFill="1" applyBorder="1"/>
    <xf numFmtId="165" fontId="26" fillId="6" borderId="3" xfId="0" applyNumberFormat="1" applyFont="1" applyFill="1" applyBorder="1" applyAlignment="1">
      <alignment horizontal="right" vertical="center"/>
    </xf>
    <xf numFmtId="1" fontId="26" fillId="3" borderId="3" xfId="0" applyNumberFormat="1" applyFont="1" applyFill="1" applyBorder="1" applyAlignment="1">
      <alignment horizontal="right" vertical="center"/>
    </xf>
    <xf numFmtId="164" fontId="40" fillId="16" borderId="3" xfId="0" applyNumberFormat="1" applyFont="1" applyFill="1" applyBorder="1" applyAlignment="1">
      <alignment horizontal="right" vertical="center"/>
    </xf>
    <xf numFmtId="164" fontId="41" fillId="6" borderId="3" xfId="0" applyNumberFormat="1" applyFont="1" applyFill="1" applyBorder="1" applyAlignment="1">
      <alignment horizontal="right" vertical="center"/>
    </xf>
    <xf numFmtId="165" fontId="42" fillId="6" borderId="3" xfId="0" applyNumberFormat="1" applyFont="1" applyFill="1" applyBorder="1" applyAlignment="1">
      <alignment horizontal="right" vertical="center"/>
    </xf>
    <xf numFmtId="167" fontId="9" fillId="3" borderId="3" xfId="0" applyNumberFormat="1" applyFont="1" applyFill="1" applyBorder="1" applyAlignment="1">
      <alignment horizontal="right" vertical="center"/>
    </xf>
    <xf numFmtId="0" fontId="31" fillId="13" borderId="7" xfId="0" applyFont="1" applyFill="1" applyBorder="1" applyAlignment="1">
      <alignment horizontal="left" vertical="center"/>
    </xf>
    <xf numFmtId="164" fontId="43" fillId="6" borderId="3" xfId="0" applyNumberFormat="1" applyFont="1" applyFill="1" applyBorder="1" applyAlignment="1">
      <alignment horizontal="right" vertical="center"/>
    </xf>
    <xf numFmtId="164" fontId="43" fillId="3" borderId="3" xfId="0" applyNumberFormat="1" applyFont="1" applyFill="1" applyBorder="1" applyAlignment="1">
      <alignment horizontal="right" vertical="center"/>
    </xf>
    <xf numFmtId="164" fontId="13" fillId="6" borderId="3" xfId="0" applyNumberFormat="1" applyFont="1" applyFill="1" applyBorder="1" applyAlignment="1">
      <alignment horizontal="right" vertical="center"/>
    </xf>
    <xf numFmtId="164" fontId="6" fillId="2" borderId="2" xfId="0" applyNumberFormat="1" applyFont="1" applyFill="1" applyBorder="1" applyAlignment="1">
      <alignment horizontal="right" vertical="center"/>
    </xf>
    <xf numFmtId="164" fontId="6" fillId="12" borderId="2" xfId="0" applyNumberFormat="1" applyFont="1" applyFill="1" applyBorder="1" applyAlignment="1">
      <alignment horizontal="right" vertical="center"/>
    </xf>
    <xf numFmtId="0" fontId="3" fillId="13" borderId="7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44" fillId="14" borderId="13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/>
    </xf>
    <xf numFmtId="2" fontId="7" fillId="6" borderId="3" xfId="0" applyNumberFormat="1" applyFont="1" applyFill="1" applyBorder="1" applyAlignment="1">
      <alignment horizontal="right" vertical="center"/>
    </xf>
    <xf numFmtId="164" fontId="45" fillId="6" borderId="3" xfId="0" applyNumberFormat="1" applyFont="1" applyFill="1" applyBorder="1" applyAlignment="1">
      <alignment horizontal="right" vertical="center"/>
    </xf>
    <xf numFmtId="0" fontId="7" fillId="3" borderId="3" xfId="0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right" vertical="center"/>
    </xf>
    <xf numFmtId="164" fontId="45" fillId="3" borderId="3" xfId="0" applyNumberFormat="1" applyFont="1" applyFill="1" applyBorder="1" applyAlignment="1">
      <alignment horizontal="right" vertical="center"/>
    </xf>
    <xf numFmtId="0" fontId="46" fillId="24" borderId="3" xfId="0" applyFont="1" applyFill="1" applyBorder="1" applyAlignment="1">
      <alignment horizontal="left" vertical="center"/>
    </xf>
    <xf numFmtId="0" fontId="46" fillId="24" borderId="3" xfId="0" applyFont="1" applyFill="1" applyBorder="1" applyAlignment="1">
      <alignment horizontal="center" vertical="center"/>
    </xf>
    <xf numFmtId="2" fontId="46" fillId="24" borderId="3" xfId="0" applyNumberFormat="1" applyFont="1" applyFill="1" applyBorder="1" applyAlignment="1">
      <alignment horizontal="right" vertical="center"/>
    </xf>
    <xf numFmtId="164" fontId="46" fillId="24" borderId="3" xfId="0" applyNumberFormat="1" applyFont="1" applyFill="1" applyBorder="1" applyAlignment="1">
      <alignment horizontal="right" vertical="center"/>
    </xf>
    <xf numFmtId="164" fontId="12" fillId="24" borderId="3" xfId="0" applyNumberFormat="1" applyFont="1" applyFill="1" applyBorder="1" applyAlignment="1">
      <alignment horizontal="right" vertical="center"/>
    </xf>
    <xf numFmtId="1" fontId="7" fillId="6" borderId="3" xfId="0" applyNumberFormat="1" applyFont="1" applyFill="1" applyBorder="1" applyAlignment="1">
      <alignment horizontal="right" vertical="center"/>
    </xf>
    <xf numFmtId="1" fontId="7" fillId="3" borderId="3" xfId="0" applyNumberFormat="1" applyFont="1" applyFill="1" applyBorder="1" applyAlignment="1">
      <alignment horizontal="right" vertical="center"/>
    </xf>
    <xf numFmtId="0" fontId="7" fillId="25" borderId="3" xfId="0" applyFont="1" applyFill="1" applyBorder="1" applyAlignment="1">
      <alignment horizontal="left" vertical="center"/>
    </xf>
    <xf numFmtId="0" fontId="7" fillId="25" borderId="3" xfId="0" applyFont="1" applyFill="1" applyBorder="1" applyAlignment="1">
      <alignment horizontal="center" vertical="center"/>
    </xf>
    <xf numFmtId="1" fontId="7" fillId="25" borderId="3" xfId="0" applyNumberFormat="1" applyFont="1" applyFill="1" applyBorder="1" applyAlignment="1">
      <alignment horizontal="right" vertical="center"/>
    </xf>
    <xf numFmtId="164" fontId="7" fillId="25" borderId="3" xfId="0" applyNumberFormat="1" applyFont="1" applyFill="1" applyBorder="1" applyAlignment="1">
      <alignment horizontal="right" vertical="center"/>
    </xf>
    <xf numFmtId="164" fontId="47" fillId="25" borderId="3" xfId="0" applyNumberFormat="1" applyFont="1" applyFill="1" applyBorder="1" applyAlignment="1">
      <alignment horizontal="right" vertical="center"/>
    </xf>
    <xf numFmtId="0" fontId="7" fillId="26" borderId="3" xfId="0" applyFont="1" applyFill="1" applyBorder="1" applyAlignment="1">
      <alignment horizontal="left" vertical="center"/>
    </xf>
    <xf numFmtId="0" fontId="7" fillId="26" borderId="3" xfId="0" applyFont="1" applyFill="1" applyBorder="1" applyAlignment="1">
      <alignment horizontal="center" vertical="center"/>
    </xf>
    <xf numFmtId="1" fontId="7" fillId="26" borderId="3" xfId="0" applyNumberFormat="1" applyFont="1" applyFill="1" applyBorder="1" applyAlignment="1">
      <alignment horizontal="right" vertical="center"/>
    </xf>
    <xf numFmtId="164" fontId="7" fillId="26" borderId="3" xfId="0" applyNumberFormat="1" applyFont="1" applyFill="1" applyBorder="1" applyAlignment="1">
      <alignment horizontal="right" vertical="center"/>
    </xf>
    <xf numFmtId="164" fontId="48" fillId="26" borderId="3" xfId="0" applyNumberFormat="1" applyFont="1" applyFill="1" applyBorder="1" applyAlignment="1">
      <alignment horizontal="right" vertical="center"/>
    </xf>
    <xf numFmtId="0" fontId="0" fillId="0" borderId="14" xfId="0" applyBorder="1"/>
    <xf numFmtId="0" fontId="6" fillId="13" borderId="7" xfId="0" applyFont="1" applyFill="1" applyBorder="1" applyAlignment="1">
      <alignment horizontal="center" vertical="center" wrapText="1"/>
    </xf>
    <xf numFmtId="0" fontId="19" fillId="7" borderId="3" xfId="0" applyFont="1" applyFill="1" applyBorder="1" applyAlignment="1">
      <alignment horizontal="left" vertical="center"/>
    </xf>
    <xf numFmtId="1" fontId="50" fillId="7" borderId="3" xfId="0" applyNumberFormat="1" applyFont="1" applyFill="1" applyBorder="1" applyAlignment="1">
      <alignment horizontal="right" vertical="center"/>
    </xf>
    <xf numFmtId="164" fontId="19" fillId="7" borderId="3" xfId="0" applyNumberFormat="1" applyFont="1" applyFill="1" applyBorder="1" applyAlignment="1">
      <alignment horizontal="right" vertical="center"/>
    </xf>
    <xf numFmtId="0" fontId="51" fillId="7" borderId="3" xfId="0" applyFont="1" applyFill="1" applyBorder="1" applyAlignment="1">
      <alignment horizontal="left" vertical="center"/>
    </xf>
    <xf numFmtId="1" fontId="48" fillId="3" borderId="3" xfId="0" applyNumberFormat="1" applyFont="1" applyFill="1" applyBorder="1" applyAlignment="1">
      <alignment horizontal="right" vertical="center"/>
    </xf>
    <xf numFmtId="164" fontId="47" fillId="3" borderId="3" xfId="0" applyNumberFormat="1" applyFont="1" applyFill="1" applyBorder="1" applyAlignment="1">
      <alignment horizontal="right" vertical="center"/>
    </xf>
    <xf numFmtId="0" fontId="52" fillId="3" borderId="3" xfId="0" applyFont="1" applyFill="1" applyBorder="1" applyAlignment="1">
      <alignment horizontal="left" vertical="center"/>
    </xf>
    <xf numFmtId="1" fontId="48" fillId="6" borderId="3" xfId="0" applyNumberFormat="1" applyFont="1" applyFill="1" applyBorder="1" applyAlignment="1">
      <alignment horizontal="right" vertical="center"/>
    </xf>
    <xf numFmtId="164" fontId="47" fillId="6" borderId="3" xfId="0" applyNumberFormat="1" applyFont="1" applyFill="1" applyBorder="1" applyAlignment="1">
      <alignment horizontal="right" vertical="center"/>
    </xf>
    <xf numFmtId="0" fontId="52" fillId="6" borderId="3" xfId="0" applyFont="1" applyFill="1" applyBorder="1" applyAlignment="1">
      <alignment horizontal="left" vertical="center"/>
    </xf>
    <xf numFmtId="0" fontId="6" fillId="27" borderId="15" xfId="0" applyFont="1" applyFill="1" applyBorder="1" applyAlignment="1">
      <alignment horizontal="center" vertical="center" wrapText="1"/>
    </xf>
    <xf numFmtId="165" fontId="7" fillId="6" borderId="3" xfId="0" applyNumberFormat="1" applyFont="1" applyFill="1" applyBorder="1" applyAlignment="1">
      <alignment horizontal="right" vertical="center"/>
    </xf>
    <xf numFmtId="165" fontId="7" fillId="3" borderId="3" xfId="0" applyNumberFormat="1" applyFont="1" applyFill="1" applyBorder="1" applyAlignment="1">
      <alignment horizontal="right" vertical="center"/>
    </xf>
    <xf numFmtId="0" fontId="6" fillId="28" borderId="16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168" fontId="24" fillId="7" borderId="3" xfId="0" applyNumberFormat="1" applyFont="1" applyFill="1" applyBorder="1" applyAlignment="1">
      <alignment horizontal="right" vertical="center"/>
    </xf>
    <xf numFmtId="0" fontId="6" fillId="2" borderId="12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left" vertical="center"/>
    </xf>
    <xf numFmtId="164" fontId="7" fillId="8" borderId="3" xfId="0" applyNumberFormat="1" applyFont="1" applyFill="1" applyBorder="1" applyAlignment="1">
      <alignment horizontal="right" vertical="center"/>
    </xf>
    <xf numFmtId="0" fontId="7" fillId="8" borderId="3" xfId="0" applyFont="1" applyFill="1" applyBorder="1" applyAlignment="1">
      <alignment horizontal="right" vertical="center"/>
    </xf>
    <xf numFmtId="164" fontId="20" fillId="8" borderId="3" xfId="0" applyNumberFormat="1" applyFont="1" applyFill="1" applyBorder="1" applyAlignment="1">
      <alignment horizontal="right" vertical="center"/>
    </xf>
    <xf numFmtId="9" fontId="20" fillId="8" borderId="3" xfId="0" applyNumberFormat="1" applyFont="1" applyFill="1" applyBorder="1" applyAlignment="1">
      <alignment horizontal="right" vertical="center"/>
    </xf>
    <xf numFmtId="0" fontId="13" fillId="7" borderId="9" xfId="0" applyFont="1" applyFill="1" applyBorder="1" applyAlignment="1">
      <alignment horizontal="left" vertical="center" wrapText="1"/>
    </xf>
    <xf numFmtId="0" fontId="29" fillId="5" borderId="0" xfId="0" applyFont="1" applyFill="1" applyAlignment="1">
      <alignment horizontal="center" vertical="center"/>
    </xf>
    <xf numFmtId="0" fontId="30" fillId="3" borderId="0" xfId="0" applyFont="1" applyFill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0" fontId="31" fillId="5" borderId="2" xfId="0" applyFont="1" applyFill="1" applyBorder="1" applyAlignment="1">
      <alignment horizontal="center" vertical="center"/>
    </xf>
    <xf numFmtId="0" fontId="32" fillId="15" borderId="2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4" fillId="13" borderId="0" xfId="0" applyFont="1" applyFill="1" applyAlignment="1">
      <alignment horizontal="center" vertical="center"/>
    </xf>
    <xf numFmtId="0" fontId="10" fillId="17" borderId="10" xfId="0" applyFont="1" applyFill="1" applyBorder="1" applyAlignment="1">
      <alignment horizontal="left" vertical="center" wrapText="1"/>
    </xf>
    <xf numFmtId="0" fontId="4" fillId="5" borderId="0" xfId="0" applyFont="1" applyFill="1" applyAlignment="1">
      <alignment horizontal="center" vertical="center"/>
    </xf>
    <xf numFmtId="0" fontId="0" fillId="13" borderId="0" xfId="0" applyFill="1"/>
    <xf numFmtId="0" fontId="0" fillId="22" borderId="0" xfId="0" applyFill="1"/>
    <xf numFmtId="0" fontId="0" fillId="23" borderId="0" xfId="0" applyFill="1"/>
    <xf numFmtId="0" fontId="0" fillId="15" borderId="0" xfId="0" applyFill="1"/>
    <xf numFmtId="0" fontId="35" fillId="13" borderId="0" xfId="0" applyFont="1" applyFill="1" applyAlignment="1">
      <alignment horizontal="center" vertical="center"/>
    </xf>
    <xf numFmtId="0" fontId="35" fillId="22" borderId="0" xfId="0" applyFont="1" applyFill="1" applyAlignment="1">
      <alignment horizontal="center" vertical="center"/>
    </xf>
    <xf numFmtId="0" fontId="35" fillId="23" borderId="0" xfId="0" applyFont="1" applyFill="1" applyAlignment="1">
      <alignment horizontal="center" vertical="center"/>
    </xf>
    <xf numFmtId="0" fontId="19" fillId="15" borderId="0" xfId="0" applyFont="1" applyFill="1" applyAlignment="1">
      <alignment horizontal="center" vertical="center"/>
    </xf>
    <xf numFmtId="164" fontId="36" fillId="13" borderId="0" xfId="0" applyNumberFormat="1" applyFont="1" applyFill="1" applyAlignment="1">
      <alignment horizontal="center" vertical="center"/>
    </xf>
    <xf numFmtId="164" fontId="36" fillId="22" borderId="0" xfId="0" applyNumberFormat="1" applyFont="1" applyFill="1" applyAlignment="1">
      <alignment horizontal="center" vertical="center"/>
    </xf>
    <xf numFmtId="164" fontId="36" fillId="23" borderId="0" xfId="0" applyNumberFormat="1" applyFont="1" applyFill="1" applyAlignment="1">
      <alignment horizontal="center" vertical="center"/>
    </xf>
    <xf numFmtId="165" fontId="37" fillId="15" borderId="0" xfId="0" applyNumberFormat="1" applyFont="1" applyFill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31" fillId="22" borderId="2" xfId="0" applyFont="1" applyFill="1" applyBorder="1" applyAlignment="1">
      <alignment horizontal="center" vertical="center"/>
    </xf>
    <xf numFmtId="0" fontId="29" fillId="13" borderId="0" xfId="0" applyFont="1" applyFill="1" applyAlignment="1">
      <alignment horizontal="center" vertical="center"/>
    </xf>
    <xf numFmtId="0" fontId="9" fillId="3" borderId="5" xfId="0" applyFont="1" applyFill="1" applyBorder="1" applyAlignment="1">
      <alignment horizontal="left" vertical="center" wrapText="1"/>
    </xf>
    <xf numFmtId="0" fontId="9" fillId="6" borderId="5" xfId="0" applyFont="1" applyFill="1" applyBorder="1" applyAlignment="1">
      <alignment horizontal="left" vertical="center" wrapText="1"/>
    </xf>
    <xf numFmtId="0" fontId="14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12" borderId="9" xfId="0" applyFont="1" applyFill="1" applyBorder="1" applyAlignment="1">
      <alignment horizontal="center" vertical="center"/>
    </xf>
    <xf numFmtId="0" fontId="6" fillId="13" borderId="11" xfId="0" applyFont="1" applyFill="1" applyBorder="1" applyAlignment="1">
      <alignment horizontal="center" vertical="center"/>
    </xf>
    <xf numFmtId="0" fontId="31" fillId="13" borderId="0" xfId="0" applyFont="1" applyFill="1" applyAlignment="1">
      <alignment horizontal="center" vertical="center"/>
    </xf>
    <xf numFmtId="0" fontId="7" fillId="3" borderId="3" xfId="0" applyFont="1" applyFill="1" applyBorder="1" applyAlignment="1">
      <alignment horizontal="left" vertical="center"/>
    </xf>
    <xf numFmtId="0" fontId="49" fillId="14" borderId="0" xfId="0" applyFont="1" applyFill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3" fillId="6" borderId="3" xfId="0" applyFont="1" applyFill="1" applyBorder="1" applyAlignment="1">
      <alignment horizontal="left" vertical="center"/>
    </xf>
    <xf numFmtId="0" fontId="53" fillId="3" borderId="3" xfId="0" applyFont="1" applyFill="1" applyBorder="1" applyAlignment="1">
      <alignment horizontal="left" vertical="center"/>
    </xf>
  </cellXfs>
  <cellStyles count="1">
    <cellStyle name="Normal" xfId="0" builtinId="0"/>
  </cellStyles>
  <dxfs count="5">
    <dxf>
      <fill>
        <patternFill>
          <bgColor rgb="FFFF5353"/>
        </patternFill>
      </fill>
    </dxf>
    <dxf>
      <fill>
        <patternFill>
          <bgColor rgb="FFFF5353"/>
        </patternFill>
      </fill>
    </dxf>
    <dxf>
      <fill>
        <patternFill>
          <bgColor rgb="FFFF5353"/>
        </patternFill>
      </fill>
    </dxf>
    <dxf>
      <fill>
        <patternFill>
          <bgColor rgb="FFFF5353"/>
        </patternFill>
      </fill>
    </dxf>
    <dxf>
      <fill>
        <patternFill>
          <bgColor rgb="FFFF535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E74C3C"/>
      <rgbColor rgb="FFEBF5FB"/>
      <rgbColor rgb="FF0000FF"/>
      <rgbColor rgb="FFD0F0C0"/>
      <rgbColor rgb="FFF79646"/>
      <rgbColor rgb="FFD9D9D9"/>
      <rgbColor rgb="FFCC7C3A"/>
      <rgbColor rgb="FF1A5E2C"/>
      <rgbColor rgb="FFFEF9EC"/>
      <rgbColor rgb="FF6B7280"/>
      <rgbColor rgb="FFC0504D"/>
      <rgbColor rgb="FF0D7377"/>
      <rgbColor rgb="FFCCCCCC"/>
      <rgbColor rgb="FF878787"/>
      <rgbColor rgb="FF9DA3B9"/>
      <rgbColor rgb="FFA54541"/>
      <rgbColor rgb="FFFFF3CD"/>
      <rgbColor rgb="FFE8F8F5"/>
      <rgbColor rgb="FFF4F6F9"/>
      <rgbColor rgb="FFFF6B6B"/>
      <rgbColor rgb="FF4F81BD"/>
      <rgbColor rgb="FFD0D6E0"/>
      <rgbColor rgb="FFFFF9E6"/>
      <rgbColor rgb="FFFADBD8"/>
      <rgbColor rgb="FFB8CD97"/>
      <rgbColor rgb="FFEAF2FF"/>
      <rgbColor rgb="FFFFF0F0"/>
      <rgbColor rgb="FFDC853E"/>
      <rgbColor rgb="FF1E8449"/>
      <rgbColor rgb="FFF9F9F9"/>
      <rgbColor rgb="FFB7E4C7"/>
      <rgbColor rgb="FFD6EAF8"/>
      <rgbColor rgb="FFD5F5E3"/>
      <rgbColor rgb="FFFDEBD0"/>
      <rgbColor rgb="FF9EC0D6"/>
      <rgbColor rgb="FFD09493"/>
      <rgbColor rgb="FFB3B3B3"/>
      <rgbColor rgb="FFF8B590"/>
      <rgbColor rgb="FF446EA2"/>
      <rgbColor rgb="FF419CB8"/>
      <rgbColor rgb="FF8CAA50"/>
      <rgbColor rgb="FFE6A817"/>
      <rgbColor rgb="FFF2A900"/>
      <rgbColor rgb="FFD35400"/>
      <rgbColor rgb="FF745B93"/>
      <rgbColor rgb="FF95A5A6"/>
      <rgbColor rgb="FF1E3A5F"/>
      <rgbColor rgb="FF27AE60"/>
      <rgbColor rgb="FFFEF9E7"/>
      <rgbColor rgb="FF555555"/>
      <rgbColor rgb="FFC0392B"/>
      <rgbColor rgb="FF6C3483"/>
      <rgbColor rgb="FF1A5276"/>
      <rgbColor rgb="FF1A1A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5353"/>
      <color rgb="FFE362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MX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MX" sz="1800" b="1" strike="noStrike" spc="-1">
                <a:solidFill>
                  <a:srgbClr val="000000"/>
                </a:solidFill>
                <a:latin typeface="Calibri"/>
              </a:rPr>
              <a:t>Distribución de Gastos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dPt>
            <c:idx val="0"/>
            <c:bubble3D val="0"/>
            <c:spPr>
              <a:solidFill>
                <a:srgbClr val="4672A8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E54-4374-AA9F-040CC2A8DA70}"/>
              </c:ext>
            </c:extLst>
          </c:dPt>
          <c:dPt>
            <c:idx val="1"/>
            <c:bubble3D val="0"/>
            <c:spPr>
              <a:solidFill>
                <a:srgbClr val="AB4744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E54-4374-AA9F-040CC2A8DA70}"/>
              </c:ext>
            </c:extLst>
          </c:dPt>
          <c:dPt>
            <c:idx val="2"/>
            <c:bubble3D val="0"/>
            <c:spPr>
              <a:solidFill>
                <a:srgbClr val="8AA64F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E54-4374-AA9F-040CC2A8DA70}"/>
              </c:ext>
            </c:extLst>
          </c:dPt>
          <c:dPt>
            <c:idx val="3"/>
            <c:bubble3D val="0"/>
            <c:spPr>
              <a:solidFill>
                <a:srgbClr val="725990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E54-4374-AA9F-040CC2A8DA70}"/>
              </c:ext>
            </c:extLst>
          </c:dPt>
          <c:dPt>
            <c:idx val="4"/>
            <c:bubble3D val="0"/>
            <c:spPr>
              <a:solidFill>
                <a:srgbClr val="4299B0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E54-4374-AA9F-040CC2A8DA70}"/>
              </c:ext>
            </c:extLst>
          </c:dPt>
          <c:dPt>
            <c:idx val="5"/>
            <c:bubble3D val="0"/>
            <c:spPr>
              <a:solidFill>
                <a:srgbClr val="DC853E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E54-4374-AA9F-040CC2A8DA70}"/>
              </c:ext>
            </c:extLst>
          </c:dPt>
          <c:dPt>
            <c:idx val="6"/>
            <c:bubble3D val="0"/>
            <c:spPr>
              <a:solidFill>
                <a:srgbClr val="93A9CE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E54-4374-AA9F-040CC2A8DA70}"/>
              </c:ext>
            </c:extLst>
          </c:dPt>
          <c:dPt>
            <c:idx val="7"/>
            <c:bubble3D val="0"/>
            <c:spPr>
              <a:solidFill>
                <a:srgbClr val="D09493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E54-4374-AA9F-040CC2A8DA70}"/>
              </c:ext>
            </c:extLst>
          </c:dPt>
          <c:dPt>
            <c:idx val="8"/>
            <c:bubble3D val="0"/>
            <c:spPr>
              <a:solidFill>
                <a:srgbClr val="B8CD97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E54-4374-AA9F-040CC2A8DA70}"/>
              </c:ext>
            </c:extLst>
          </c:dPt>
          <c:dPt>
            <c:idx val="9"/>
            <c:bubble3D val="0"/>
            <c:spPr>
              <a:solidFill>
                <a:srgbClr val="A99BBD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3-0E54-4374-AA9F-040CC2A8DA70}"/>
              </c:ext>
            </c:extLst>
          </c:dPt>
          <c:dPt>
            <c:idx val="10"/>
            <c:bubble3D val="0"/>
            <c:spPr>
              <a:solidFill>
                <a:srgbClr val="92C3D5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5-0E54-4374-AA9F-040CC2A8DA70}"/>
              </c:ext>
            </c:extLst>
          </c:dPt>
          <c:dPt>
            <c:idx val="11"/>
            <c:bubble3D val="0"/>
            <c:spPr>
              <a:solidFill>
                <a:srgbClr val="F8B590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7-0E54-4374-AA9F-040CC2A8DA7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0E54-4374-AA9F-040CC2A8DA7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0E54-4374-AA9F-040CC2A8DA70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0E54-4374-AA9F-040CC2A8DA70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0E54-4374-AA9F-040CC2A8DA70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9-0E54-4374-AA9F-040CC2A8DA70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B-0E54-4374-AA9F-040CC2A8DA70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D-0E54-4374-AA9F-040CC2A8DA70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F-0E54-4374-AA9F-040CC2A8DA70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0E54-4374-AA9F-040CC2A8DA70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0E54-4374-AA9F-040CC2A8DA70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5-0E54-4374-AA9F-040CC2A8DA70}"/>
                </c:ext>
              </c:extLst>
            </c:dLbl>
            <c:dLbl>
              <c:idx val="1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7-0E54-4374-AA9F-040CC2A8DA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'🔍 Diagnóstico'!$G$12:$G$23</c:f>
              <c:strCache>
                <c:ptCount val="12"/>
                <c:pt idx="0">
                  <c:v>Despensa</c:v>
                </c:pt>
                <c:pt idx="1">
                  <c:v>Gasolina</c:v>
                </c:pt>
                <c:pt idx="2">
                  <c:v>Comida</c:v>
                </c:pt>
                <c:pt idx="3">
                  <c:v>OXXO</c:v>
                </c:pt>
                <c:pt idx="4">
                  <c:v>Salud</c:v>
                </c:pt>
                <c:pt idx="5">
                  <c:v>Costco</c:v>
                </c:pt>
                <c:pt idx="6">
                  <c:v>Compras</c:v>
                </c:pt>
                <c:pt idx="7">
                  <c:v>Ropa</c:v>
                </c:pt>
                <c:pt idx="8">
                  <c:v>Caffenio</c:v>
                </c:pt>
                <c:pt idx="9">
                  <c:v>Celular</c:v>
                </c:pt>
                <c:pt idx="10">
                  <c:v>Netflix</c:v>
                </c:pt>
                <c:pt idx="11">
                  <c:v>GBM</c:v>
                </c:pt>
              </c:strCache>
            </c:strRef>
          </c:cat>
          <c:val>
            <c:numRef>
              <c:f>'🔍 Diagnóstico'!$H$12:$H$23</c:f>
              <c:numCache>
                <c:formatCode>General</c:formatCode>
                <c:ptCount val="12"/>
                <c:pt idx="0">
                  <c:v>6637.7</c:v>
                </c:pt>
                <c:pt idx="1">
                  <c:v>4241.3900000000003</c:v>
                </c:pt>
                <c:pt idx="2">
                  <c:v>2635.75</c:v>
                </c:pt>
                <c:pt idx="3">
                  <c:v>1902</c:v>
                </c:pt>
                <c:pt idx="4">
                  <c:v>1579</c:v>
                </c:pt>
                <c:pt idx="5">
                  <c:v>1200.47</c:v>
                </c:pt>
                <c:pt idx="6">
                  <c:v>892.5</c:v>
                </c:pt>
                <c:pt idx="7">
                  <c:v>855.35</c:v>
                </c:pt>
                <c:pt idx="8">
                  <c:v>850</c:v>
                </c:pt>
                <c:pt idx="9">
                  <c:v>479</c:v>
                </c:pt>
                <c:pt idx="10">
                  <c:v>329</c:v>
                </c:pt>
                <c:pt idx="11">
                  <c:v>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54-4374-AA9F-040CC2A8D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MX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MX" sz="1800" b="1" strike="noStrike" spc="-1">
                <a:solidFill>
                  <a:srgbClr val="000000"/>
                </a:solidFill>
                <a:latin typeface="Calibri"/>
              </a:rPr>
              <a:t>Gasto Actual vs Presupuesto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'💡 Plan de Acción'!$I$6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C0392B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'💡 Plan de Acción'!$H$7:$H$20</c:f>
              <c:strCache>
                <c:ptCount val="14"/>
                <c:pt idx="0">
                  <c:v>🛒 Despensa/Súpe</c:v>
                </c:pt>
                <c:pt idx="1">
                  <c:v>⛽ Gasolina</c:v>
                </c:pt>
                <c:pt idx="2">
                  <c:v>🍔 Comida rápida</c:v>
                </c:pt>
                <c:pt idx="3">
                  <c:v>🏪 OXXO/Convenie</c:v>
                </c:pt>
                <c:pt idx="4">
                  <c:v>☕ Caffenio</c:v>
                </c:pt>
                <c:pt idx="5">
                  <c:v>💊 Salud</c:v>
                </c:pt>
                <c:pt idx="6">
                  <c:v>📆 Costco a mese</c:v>
                </c:pt>
                <c:pt idx="7">
                  <c:v>🛍️ Compras onli</c:v>
                </c:pt>
                <c:pt idx="8">
                  <c:v>👗 Ropa/Personal</c:v>
                </c:pt>
                <c:pt idx="9">
                  <c:v>📱 Celular Telce</c:v>
                </c:pt>
                <c:pt idx="10">
                  <c:v>🎬 Netflix</c:v>
                </c:pt>
                <c:pt idx="11">
                  <c:v>💰 GBM/Inversión</c:v>
                </c:pt>
                <c:pt idx="12">
                  <c:v>🆘 Fondo de Emer</c:v>
                </c:pt>
                <c:pt idx="13">
                  <c:v>💳 Pago extra de</c:v>
                </c:pt>
              </c:strCache>
            </c:strRef>
          </c:cat>
          <c:val>
            <c:numRef>
              <c:f>'💡 Plan de Acción'!$I$7:$I$20</c:f>
              <c:numCache>
                <c:formatCode>General</c:formatCode>
                <c:ptCount val="14"/>
                <c:pt idx="0">
                  <c:v>5400</c:v>
                </c:pt>
                <c:pt idx="1">
                  <c:v>3400</c:v>
                </c:pt>
                <c:pt idx="2">
                  <c:v>2100</c:v>
                </c:pt>
                <c:pt idx="3">
                  <c:v>1500</c:v>
                </c:pt>
                <c:pt idx="4">
                  <c:v>700</c:v>
                </c:pt>
                <c:pt idx="5">
                  <c:v>900</c:v>
                </c:pt>
                <c:pt idx="6">
                  <c:v>1200</c:v>
                </c:pt>
                <c:pt idx="7">
                  <c:v>700</c:v>
                </c:pt>
                <c:pt idx="8">
                  <c:v>700</c:v>
                </c:pt>
                <c:pt idx="9">
                  <c:v>479</c:v>
                </c:pt>
                <c:pt idx="10">
                  <c:v>329</c:v>
                </c:pt>
                <c:pt idx="11">
                  <c:v>161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2B-423E-816B-138265364AA3}"/>
            </c:ext>
          </c:extLst>
        </c:ser>
        <c:ser>
          <c:idx val="1"/>
          <c:order val="1"/>
          <c:tx>
            <c:strRef>
              <c:f>'💡 Plan de Acción'!$J$6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1E8449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'💡 Plan de Acción'!$H$7:$H$20</c:f>
              <c:strCache>
                <c:ptCount val="14"/>
                <c:pt idx="0">
                  <c:v>🛒 Despensa/Súpe</c:v>
                </c:pt>
                <c:pt idx="1">
                  <c:v>⛽ Gasolina</c:v>
                </c:pt>
                <c:pt idx="2">
                  <c:v>🍔 Comida rápida</c:v>
                </c:pt>
                <c:pt idx="3">
                  <c:v>🏪 OXXO/Convenie</c:v>
                </c:pt>
                <c:pt idx="4">
                  <c:v>☕ Caffenio</c:v>
                </c:pt>
                <c:pt idx="5">
                  <c:v>💊 Salud</c:v>
                </c:pt>
                <c:pt idx="6">
                  <c:v>📆 Costco a mese</c:v>
                </c:pt>
                <c:pt idx="7">
                  <c:v>🛍️ Compras onli</c:v>
                </c:pt>
                <c:pt idx="8">
                  <c:v>👗 Ropa/Personal</c:v>
                </c:pt>
                <c:pt idx="9">
                  <c:v>📱 Celular Telce</c:v>
                </c:pt>
                <c:pt idx="10">
                  <c:v>🎬 Netflix</c:v>
                </c:pt>
                <c:pt idx="11">
                  <c:v>💰 GBM/Inversión</c:v>
                </c:pt>
                <c:pt idx="12">
                  <c:v>🆘 Fondo de Emer</c:v>
                </c:pt>
                <c:pt idx="13">
                  <c:v>💳 Pago extra de</c:v>
                </c:pt>
              </c:strCache>
            </c:strRef>
          </c:cat>
          <c:val>
            <c:numRef>
              <c:f>'💡 Plan de Acción'!$J$7:$J$20</c:f>
              <c:numCache>
                <c:formatCode>General</c:formatCode>
                <c:ptCount val="14"/>
                <c:pt idx="0">
                  <c:v>4500</c:v>
                </c:pt>
                <c:pt idx="1">
                  <c:v>2800</c:v>
                </c:pt>
                <c:pt idx="2">
                  <c:v>600</c:v>
                </c:pt>
                <c:pt idx="3">
                  <c:v>300</c:v>
                </c:pt>
                <c:pt idx="4">
                  <c:v>0</c:v>
                </c:pt>
                <c:pt idx="5">
                  <c:v>900</c:v>
                </c:pt>
                <c:pt idx="6">
                  <c:v>1200</c:v>
                </c:pt>
                <c:pt idx="7">
                  <c:v>200</c:v>
                </c:pt>
                <c:pt idx="8">
                  <c:v>300</c:v>
                </c:pt>
                <c:pt idx="9">
                  <c:v>399</c:v>
                </c:pt>
                <c:pt idx="10">
                  <c:v>329</c:v>
                </c:pt>
                <c:pt idx="11">
                  <c:v>500</c:v>
                </c:pt>
                <c:pt idx="12">
                  <c:v>500</c:v>
                </c:pt>
                <c:pt idx="13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2B-423E-816B-138265364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576109"/>
        <c:axId val="54595225"/>
      </c:barChart>
      <c:catAx>
        <c:axId val="505761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54595225"/>
        <c:crosses val="autoZero"/>
        <c:auto val="1"/>
        <c:lblAlgn val="ctr"/>
        <c:lblOffset val="100"/>
        <c:noMultiLvlLbl val="0"/>
      </c:catAx>
      <c:valAx>
        <c:axId val="545952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MX" sz="1000" b="1" strike="noStrike" spc="-1">
                    <a:solidFill>
                      <a:srgbClr val="000000"/>
                    </a:solidFill>
                    <a:latin typeface="Calibri"/>
                  </a:rPr>
                  <a:t>MXN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505761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Deuda vs Ahorro+Inversión mes a mes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'📈 Proyección'!$J$13</c:f>
              <c:strCache>
                <c:ptCount val="1"/>
                <c:pt idx="0">
                  <c:v>Deuda</c:v>
                </c:pt>
              </c:strCache>
            </c:strRef>
          </c:tx>
          <c:spPr>
            <a:solidFill>
              <a:srgbClr val="C0392B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 Proyección'!$I$14:$I$25</c:f>
              <c:strCache>
                <c:ptCount val="12"/>
                <c:pt idx="0">
                  <c:v>Mayo 26</c:v>
                </c:pt>
                <c:pt idx="1">
                  <c:v>Junio 26</c:v>
                </c:pt>
                <c:pt idx="2">
                  <c:v>Julio 26</c:v>
                </c:pt>
                <c:pt idx="3">
                  <c:v>Agosto 26</c:v>
                </c:pt>
                <c:pt idx="4">
                  <c:v>Sept 26</c:v>
                </c:pt>
                <c:pt idx="5">
                  <c:v>Oct 26</c:v>
                </c:pt>
                <c:pt idx="6">
                  <c:v>Nov 26</c:v>
                </c:pt>
                <c:pt idx="7">
                  <c:v>Dic 26</c:v>
                </c:pt>
                <c:pt idx="8">
                  <c:v>Enero 27</c:v>
                </c:pt>
                <c:pt idx="9">
                  <c:v>Feb 27</c:v>
                </c:pt>
                <c:pt idx="10">
                  <c:v>Marzo 27</c:v>
                </c:pt>
                <c:pt idx="11">
                  <c:v>Abril 27</c:v>
                </c:pt>
              </c:strCache>
            </c:strRef>
          </c:cat>
          <c:val>
            <c:numRef>
              <c:f>'📈 Proyección'!$J$14:$J$25</c:f>
              <c:numCache>
                <c:formatCode>General</c:formatCode>
                <c:ptCount val="12"/>
                <c:pt idx="0">
                  <c:v>9056.18</c:v>
                </c:pt>
                <c:pt idx="1">
                  <c:v>8994.35</c:v>
                </c:pt>
                <c:pt idx="2">
                  <c:v>8929.5300000000007</c:v>
                </c:pt>
                <c:pt idx="3">
                  <c:v>8861.57</c:v>
                </c:pt>
                <c:pt idx="4">
                  <c:v>8790.32</c:v>
                </c:pt>
                <c:pt idx="5">
                  <c:v>8715.6200000000008</c:v>
                </c:pt>
                <c:pt idx="6">
                  <c:v>8637.32</c:v>
                </c:pt>
                <c:pt idx="7">
                  <c:v>8555.2199999999993</c:v>
                </c:pt>
                <c:pt idx="8">
                  <c:v>8469.15</c:v>
                </c:pt>
                <c:pt idx="9">
                  <c:v>8378.91</c:v>
                </c:pt>
                <c:pt idx="10">
                  <c:v>8284.31</c:v>
                </c:pt>
                <c:pt idx="11">
                  <c:v>8185.13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95-4497-8E9B-EB239917B9DD}"/>
            </c:ext>
          </c:extLst>
        </c:ser>
        <c:ser>
          <c:idx val="1"/>
          <c:order val="1"/>
          <c:tx>
            <c:strRef>
              <c:f>'📈 Proyección'!$K$13</c:f>
              <c:strCache>
                <c:ptCount val="1"/>
                <c:pt idx="0">
                  <c:v>Ahorro</c:v>
                </c:pt>
              </c:strCache>
            </c:strRef>
          </c:tx>
          <c:spPr>
            <a:solidFill>
              <a:srgbClr val="0D7377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 Proyección'!$I$14:$I$25</c:f>
              <c:strCache>
                <c:ptCount val="12"/>
                <c:pt idx="0">
                  <c:v>Mayo 26</c:v>
                </c:pt>
                <c:pt idx="1">
                  <c:v>Junio 26</c:v>
                </c:pt>
                <c:pt idx="2">
                  <c:v>Julio 26</c:v>
                </c:pt>
                <c:pt idx="3">
                  <c:v>Agosto 26</c:v>
                </c:pt>
                <c:pt idx="4">
                  <c:v>Sept 26</c:v>
                </c:pt>
                <c:pt idx="5">
                  <c:v>Oct 26</c:v>
                </c:pt>
                <c:pt idx="6">
                  <c:v>Nov 26</c:v>
                </c:pt>
                <c:pt idx="7">
                  <c:v>Dic 26</c:v>
                </c:pt>
                <c:pt idx="8">
                  <c:v>Enero 27</c:v>
                </c:pt>
                <c:pt idx="9">
                  <c:v>Feb 27</c:v>
                </c:pt>
                <c:pt idx="10">
                  <c:v>Marzo 27</c:v>
                </c:pt>
                <c:pt idx="11">
                  <c:v>Abril 27</c:v>
                </c:pt>
              </c:strCache>
            </c:strRef>
          </c:cat>
          <c:val>
            <c:numRef>
              <c:f>'📈 Proyección'!$K$14:$K$25</c:f>
              <c:numCache>
                <c:formatCode>General</c:formatCode>
                <c:ptCount val="12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95-4497-8E9B-EB239917B9DD}"/>
            </c:ext>
          </c:extLst>
        </c:ser>
        <c:ser>
          <c:idx val="2"/>
          <c:order val="2"/>
          <c:tx>
            <c:strRef>
              <c:f>'📈 Proyección'!$L$13</c:f>
              <c:strCache>
                <c:ptCount val="1"/>
                <c:pt idx="0">
                  <c:v>Inversión</c:v>
                </c:pt>
              </c:strCache>
            </c:strRef>
          </c:tx>
          <c:spPr>
            <a:solidFill>
              <a:srgbClr val="E6A817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 Proyección'!$I$14:$I$25</c:f>
              <c:strCache>
                <c:ptCount val="12"/>
                <c:pt idx="0">
                  <c:v>Mayo 26</c:v>
                </c:pt>
                <c:pt idx="1">
                  <c:v>Junio 26</c:v>
                </c:pt>
                <c:pt idx="2">
                  <c:v>Julio 26</c:v>
                </c:pt>
                <c:pt idx="3">
                  <c:v>Agosto 26</c:v>
                </c:pt>
                <c:pt idx="4">
                  <c:v>Sept 26</c:v>
                </c:pt>
                <c:pt idx="5">
                  <c:v>Oct 26</c:v>
                </c:pt>
                <c:pt idx="6">
                  <c:v>Nov 26</c:v>
                </c:pt>
                <c:pt idx="7">
                  <c:v>Dic 26</c:v>
                </c:pt>
                <c:pt idx="8">
                  <c:v>Enero 27</c:v>
                </c:pt>
                <c:pt idx="9">
                  <c:v>Feb 27</c:v>
                </c:pt>
                <c:pt idx="10">
                  <c:v>Marzo 27</c:v>
                </c:pt>
                <c:pt idx="11">
                  <c:v>Abril 27</c:v>
                </c:pt>
              </c:strCache>
            </c:strRef>
          </c:cat>
          <c:val>
            <c:numRef>
              <c:f>'📈 Proyección'!$L$14:$L$25</c:f>
              <c:numCache>
                <c:formatCode>General</c:formatCode>
                <c:ptCount val="12"/>
                <c:pt idx="0">
                  <c:v>500</c:v>
                </c:pt>
                <c:pt idx="1">
                  <c:v>1004.17</c:v>
                </c:pt>
                <c:pt idx="2">
                  <c:v>1512.53</c:v>
                </c:pt>
                <c:pt idx="3">
                  <c:v>2025.14</c:v>
                </c:pt>
                <c:pt idx="4">
                  <c:v>2542.02</c:v>
                </c:pt>
                <c:pt idx="5">
                  <c:v>3063.2</c:v>
                </c:pt>
                <c:pt idx="6">
                  <c:v>3588.73</c:v>
                </c:pt>
                <c:pt idx="7">
                  <c:v>4118.63</c:v>
                </c:pt>
                <c:pt idx="8">
                  <c:v>4652.95</c:v>
                </c:pt>
                <c:pt idx="9">
                  <c:v>5191.7299999999996</c:v>
                </c:pt>
                <c:pt idx="10">
                  <c:v>5734.99</c:v>
                </c:pt>
                <c:pt idx="11">
                  <c:v>6282.78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95-4497-8E9B-EB239917B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39198"/>
        <c:axId val="97551998"/>
      </c:barChart>
      <c:catAx>
        <c:axId val="503919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97551998"/>
        <c:crosses val="autoZero"/>
        <c:auto val="1"/>
        <c:lblAlgn val="ctr"/>
        <c:lblOffset val="100"/>
        <c:noMultiLvlLbl val="0"/>
      </c:catAx>
      <c:valAx>
        <c:axId val="9755199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MXN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50391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Gasto Real vs Presupuesto por Categoría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'📊 Dashboard'!$C$11</c:f>
              <c:strCache>
                <c:ptCount val="1"/>
                <c:pt idx="0">
                  <c:v>Gasto Real ($)</c:v>
                </c:pt>
              </c:strCache>
            </c:strRef>
          </c:tx>
          <c:spPr>
            <a:solidFill>
              <a:srgbClr val="FF6B6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'📊 Dashboard'!$B$12:$B$24</c:f>
              <c:strCache>
                <c:ptCount val="13"/>
                <c:pt idx="0">
                  <c:v>Servicio Básico</c:v>
                </c:pt>
                <c:pt idx="1">
                  <c:v>Educación/Salud</c:v>
                </c:pt>
                <c:pt idx="2">
                  <c:v>Transporte</c:v>
                </c:pt>
                <c:pt idx="3">
                  <c:v>Vivienda</c:v>
                </c:pt>
                <c:pt idx="4">
                  <c:v>Alimentación</c:v>
                </c:pt>
                <c:pt idx="5">
                  <c:v>Salud</c:v>
                </c:pt>
                <c:pt idx="6">
                  <c:v>Entretenimiento</c:v>
                </c:pt>
                <c:pt idx="7">
                  <c:v>Comunicación</c:v>
                </c:pt>
                <c:pt idx="8">
                  <c:v>Ropa/Personal</c:v>
                </c:pt>
                <c:pt idx="9">
                  <c:v>Deudas/Crédito</c:v>
                </c:pt>
                <c:pt idx="10">
                  <c:v>Ahorro</c:v>
                </c:pt>
                <c:pt idx="11">
                  <c:v>Inversión</c:v>
                </c:pt>
                <c:pt idx="12">
                  <c:v>Otros</c:v>
                </c:pt>
              </c:strCache>
            </c:strRef>
          </c:cat>
          <c:val>
            <c:numRef>
              <c:f>'📊 Dashboard'!$C$12:$C$24</c:f>
              <c:numCache>
                <c:formatCode>\$#,##0.00</c:formatCode>
                <c:ptCount val="13"/>
                <c:pt idx="0">
                  <c:v>1900</c:v>
                </c:pt>
                <c:pt idx="1">
                  <c:v>0</c:v>
                </c:pt>
                <c:pt idx="2">
                  <c:v>7956.58</c:v>
                </c:pt>
                <c:pt idx="3">
                  <c:v>0</c:v>
                </c:pt>
                <c:pt idx="4">
                  <c:v>24596.06</c:v>
                </c:pt>
                <c:pt idx="5">
                  <c:v>2649.2</c:v>
                </c:pt>
                <c:pt idx="6">
                  <c:v>2408</c:v>
                </c:pt>
                <c:pt idx="7">
                  <c:v>758</c:v>
                </c:pt>
                <c:pt idx="8">
                  <c:v>943.24</c:v>
                </c:pt>
                <c:pt idx="9">
                  <c:v>2986.28</c:v>
                </c:pt>
                <c:pt idx="10">
                  <c:v>0</c:v>
                </c:pt>
                <c:pt idx="11">
                  <c:v>161</c:v>
                </c:pt>
                <c:pt idx="12">
                  <c:v>19.989999999999998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71-430F-B871-5662A2B84027}"/>
            </c:ext>
          </c:extLst>
        </c:ser>
        <c:ser>
          <c:idx val="1"/>
          <c:order val="1"/>
          <c:tx>
            <c:strRef>
              <c:f>'📊 Dashboard'!$D$11</c:f>
              <c:strCache>
                <c:ptCount val="1"/>
                <c:pt idx="0">
                  <c:v>Presupuesto ($)</c:v>
                </c:pt>
              </c:strCache>
            </c:strRef>
          </c:tx>
          <c:spPr>
            <a:solidFill>
              <a:srgbClr val="0D737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'📊 Dashboard'!$B$12:$B$24</c:f>
              <c:strCache>
                <c:ptCount val="13"/>
                <c:pt idx="0">
                  <c:v>Servicio Básico</c:v>
                </c:pt>
                <c:pt idx="1">
                  <c:v>Educación/Salud</c:v>
                </c:pt>
                <c:pt idx="2">
                  <c:v>Transporte</c:v>
                </c:pt>
                <c:pt idx="3">
                  <c:v>Vivienda</c:v>
                </c:pt>
                <c:pt idx="4">
                  <c:v>Alimentación</c:v>
                </c:pt>
                <c:pt idx="5">
                  <c:v>Salud</c:v>
                </c:pt>
                <c:pt idx="6">
                  <c:v>Entretenimiento</c:v>
                </c:pt>
                <c:pt idx="7">
                  <c:v>Comunicación</c:v>
                </c:pt>
                <c:pt idx="8">
                  <c:v>Ropa/Personal</c:v>
                </c:pt>
                <c:pt idx="9">
                  <c:v>Deudas/Crédito</c:v>
                </c:pt>
                <c:pt idx="10">
                  <c:v>Ahorro</c:v>
                </c:pt>
                <c:pt idx="11">
                  <c:v>Inversión</c:v>
                </c:pt>
                <c:pt idx="12">
                  <c:v>Otros</c:v>
                </c:pt>
              </c:strCache>
            </c:strRef>
          </c:cat>
          <c:val>
            <c:numRef>
              <c:f>'📊 Dashboard'!$D$12:$D$24</c:f>
              <c:numCache>
                <c:formatCode>\$#,##0.00</c:formatCode>
                <c:ptCount val="13"/>
                <c:pt idx="0">
                  <c:v>1759</c:v>
                </c:pt>
                <c:pt idx="1">
                  <c:v>4000</c:v>
                </c:pt>
                <c:pt idx="2">
                  <c:v>2000</c:v>
                </c:pt>
                <c:pt idx="3">
                  <c:v>1000</c:v>
                </c:pt>
                <c:pt idx="4">
                  <c:v>5000</c:v>
                </c:pt>
                <c:pt idx="5">
                  <c:v>700</c:v>
                </c:pt>
                <c:pt idx="6">
                  <c:v>349</c:v>
                </c:pt>
                <c:pt idx="7">
                  <c:v>720</c:v>
                </c:pt>
                <c:pt idx="8">
                  <c:v>0</c:v>
                </c:pt>
                <c:pt idx="9">
                  <c:v>0</c:v>
                </c:pt>
                <c:pt idx="10">
                  <c:v>3100</c:v>
                </c:pt>
                <c:pt idx="11">
                  <c:v>1550</c:v>
                </c:pt>
                <c:pt idx="12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71-430F-B871-5662A2B840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10"/>
        <c:axId val="73334615"/>
        <c:axId val="95646682"/>
      </c:barChart>
      <c:catAx>
        <c:axId val="7333461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Categoría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95646682"/>
        <c:crosses val="autoZero"/>
        <c:auto val="1"/>
        <c:lblAlgn val="ctr"/>
        <c:lblOffset val="100"/>
        <c:noMultiLvlLbl val="0"/>
      </c:catAx>
      <c:valAx>
        <c:axId val="956466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MXN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733346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Distribución de Gastos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dPt>
            <c:idx val="0"/>
            <c:bubble3D val="0"/>
            <c:spPr>
              <a:solidFill>
                <a:srgbClr val="416A9C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6E0B-435E-B363-ACABD9D8B878}"/>
              </c:ext>
            </c:extLst>
          </c:dPt>
          <c:dPt>
            <c:idx val="1"/>
            <c:bubble3D val="0"/>
            <c:spPr>
              <a:solidFill>
                <a:srgbClr val="9F423F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6E0B-435E-B363-ACABD9D8B878}"/>
              </c:ext>
            </c:extLst>
          </c:dPt>
          <c:dPt>
            <c:idx val="2"/>
            <c:bubble3D val="0"/>
            <c:spPr>
              <a:solidFill>
                <a:srgbClr val="809B49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6E0B-435E-B363-ACABD9D8B878}"/>
              </c:ext>
            </c:extLst>
          </c:dPt>
          <c:dPt>
            <c:idx val="3"/>
            <c:bubble3D val="0"/>
            <c:spPr>
              <a:solidFill>
                <a:srgbClr val="6A5286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6E0B-435E-B363-ACABD9D8B878}"/>
              </c:ext>
            </c:extLst>
          </c:dPt>
          <c:dPt>
            <c:idx val="4"/>
            <c:bubble3D val="0"/>
            <c:spPr>
              <a:solidFill>
                <a:srgbClr val="3E8EA4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9-6E0B-435E-B363-ACABD9D8B878}"/>
              </c:ext>
            </c:extLst>
          </c:dPt>
          <c:dPt>
            <c:idx val="5"/>
            <c:bubble3D val="0"/>
            <c:spPr>
              <a:solidFill>
                <a:srgbClr val="CC7C3A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B-6E0B-435E-B363-ACABD9D8B878}"/>
              </c:ext>
            </c:extLst>
          </c:dPt>
          <c:dPt>
            <c:idx val="6"/>
            <c:bubble3D val="0"/>
            <c:spPr>
              <a:solidFill>
                <a:srgbClr val="4F81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6E0B-435E-B363-ACABD9D8B878}"/>
              </c:ext>
            </c:extLst>
          </c:dPt>
          <c:dPt>
            <c:idx val="7"/>
            <c:bubble3D val="0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F-6E0B-435E-B363-ACABD9D8B878}"/>
              </c:ext>
            </c:extLst>
          </c:dPt>
          <c:dPt>
            <c:idx val="8"/>
            <c:bubble3D val="0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11-6E0B-435E-B363-ACABD9D8B878}"/>
              </c:ext>
            </c:extLst>
          </c:dPt>
          <c:dPt>
            <c:idx val="9"/>
            <c:bubble3D val="0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13-6E0B-435E-B363-ACABD9D8B878}"/>
              </c:ext>
            </c:extLst>
          </c:dPt>
          <c:dPt>
            <c:idx val="10"/>
            <c:bubble3D val="0"/>
            <c:spPr>
              <a:solidFill>
                <a:srgbClr val="4BACC6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15-6E0B-435E-B363-ACABD9D8B878}"/>
              </c:ext>
            </c:extLst>
          </c:dPt>
          <c:dPt>
            <c:idx val="11"/>
            <c:bubble3D val="0"/>
            <c:spPr>
              <a:solidFill>
                <a:srgbClr val="F79646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17-6E0B-435E-B363-ACABD9D8B878}"/>
              </c:ext>
            </c:extLst>
          </c:dPt>
          <c:dPt>
            <c:idx val="12"/>
            <c:bubble3D val="0"/>
            <c:spPr>
              <a:solidFill>
                <a:srgbClr val="AABAD7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19-6E0B-435E-B363-ACABD9D8B878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MX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6E0B-435E-B363-ACABD9D8B878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MX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6E0B-435E-B363-ACABD9D8B878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MX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6E0B-435E-B363-ACABD9D8B878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MX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7-6E0B-435E-B363-ACABD9D8B878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MX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9-6E0B-435E-B363-ACABD9D8B878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MX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B-6E0B-435E-B363-ACABD9D8B878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MX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D-6E0B-435E-B363-ACABD9D8B878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MX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F-6E0B-435E-B363-ACABD9D8B878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MX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11-6E0B-435E-B363-ACABD9D8B878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MX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13-6E0B-435E-B363-ACABD9D8B878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MX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15-6E0B-435E-B363-ACABD9D8B878}"/>
                </c:ext>
              </c:extLst>
            </c:dLbl>
            <c:dLbl>
              <c:idx val="1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MX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17-6E0B-435E-B363-ACABD9D8B878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MX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19-6E0B-435E-B363-ACABD9D8B8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bestFit"/>
            <c:showLegendKey val="1"/>
            <c:showVal val="1"/>
            <c:showCatName val="0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'📊 Dashboard'!$B$12:$B$24</c:f>
              <c:strCache>
                <c:ptCount val="13"/>
                <c:pt idx="0">
                  <c:v>Servicio Básico</c:v>
                </c:pt>
                <c:pt idx="1">
                  <c:v>Educación/Salud</c:v>
                </c:pt>
                <c:pt idx="2">
                  <c:v>Transporte</c:v>
                </c:pt>
                <c:pt idx="3">
                  <c:v>Vivienda</c:v>
                </c:pt>
                <c:pt idx="4">
                  <c:v>Alimentación</c:v>
                </c:pt>
                <c:pt idx="5">
                  <c:v>Salud</c:v>
                </c:pt>
                <c:pt idx="6">
                  <c:v>Entretenimiento</c:v>
                </c:pt>
                <c:pt idx="7">
                  <c:v>Comunicación</c:v>
                </c:pt>
                <c:pt idx="8">
                  <c:v>Ropa/Personal</c:v>
                </c:pt>
                <c:pt idx="9">
                  <c:v>Deudas/Crédito</c:v>
                </c:pt>
                <c:pt idx="10">
                  <c:v>Ahorro</c:v>
                </c:pt>
                <c:pt idx="11">
                  <c:v>Inversión</c:v>
                </c:pt>
                <c:pt idx="12">
                  <c:v>Otros</c:v>
                </c:pt>
              </c:strCache>
            </c:strRef>
          </c:cat>
          <c:val>
            <c:numRef>
              <c:f>'📊 Dashboard'!$C$12:$C$24</c:f>
              <c:numCache>
                <c:formatCode>\$#,##0.00</c:formatCode>
                <c:ptCount val="13"/>
                <c:pt idx="0">
                  <c:v>1900</c:v>
                </c:pt>
                <c:pt idx="1">
                  <c:v>0</c:v>
                </c:pt>
                <c:pt idx="2">
                  <c:v>7956.58</c:v>
                </c:pt>
                <c:pt idx="3">
                  <c:v>0</c:v>
                </c:pt>
                <c:pt idx="4">
                  <c:v>24596.06</c:v>
                </c:pt>
                <c:pt idx="5">
                  <c:v>2649.2</c:v>
                </c:pt>
                <c:pt idx="6">
                  <c:v>2408</c:v>
                </c:pt>
                <c:pt idx="7">
                  <c:v>758</c:v>
                </c:pt>
                <c:pt idx="8">
                  <c:v>943.24</c:v>
                </c:pt>
                <c:pt idx="9">
                  <c:v>2986.28</c:v>
                </c:pt>
                <c:pt idx="10">
                  <c:v>0</c:v>
                </c:pt>
                <c:pt idx="11">
                  <c:v>161</c:v>
                </c:pt>
                <c:pt idx="12">
                  <c:v>19.989999999999998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E0B-435E-B363-ACABD9D8B8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MX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MX" sz="1800" b="1" strike="noStrike" spc="-1">
                <a:solidFill>
                  <a:srgbClr val="000000"/>
                </a:solidFill>
                <a:latin typeface="Calibri"/>
              </a:rPr>
              <a:t>Crecimiento del Ahorro e Inversión (12 meses)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6044230272782001E-2"/>
          <c:y val="0.123509298640647"/>
          <c:w val="0.81275277514843802"/>
          <c:h val="0.74038862480193501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'🏦 Plan Ahorro'!$G$12</c:f>
              <c:strCache>
                <c:ptCount val="1"/>
                <c:pt idx="0">
                  <c:v>Saldo Ahorro</c:v>
                </c:pt>
              </c:strCache>
            </c:strRef>
          </c:tx>
          <c:spPr>
            <a:solidFill>
              <a:srgbClr val="0D737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'🏦 Plan Ahorro'!$B$13:$B$25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'🏦 Plan Ahorro'!$G$13:$G$25</c:f>
              <c:numCache>
                <c:formatCode>\$#,##0.00</c:formatCode>
                <c:ptCount val="13"/>
                <c:pt idx="0">
                  <c:v>3124.7198353296026</c:v>
                </c:pt>
                <c:pt idx="1">
                  <c:v>12499.076460756707</c:v>
                </c:pt>
                <c:pt idx="2">
                  <c:v>31322.5421477727</c:v>
                </c:pt>
                <c:pt idx="3">
                  <c:v>69119.574480551615</c:v>
                </c:pt>
                <c:pt idx="4">
                  <c:v>145015.03798972684</c:v>
                </c:pt>
                <c:pt idx="5">
                  <c:v>297411.16609201621</c:v>
                </c:pt>
                <c:pt idx="6">
                  <c:v>603418.65042290383</c:v>
                </c:pt>
                <c:pt idx="7">
                  <c:v>1217873.7657370293</c:v>
                </c:pt>
                <c:pt idx="8">
                  <c:v>2451683.7477420531</c:v>
                </c:pt>
                <c:pt idx="9">
                  <c:v>4929142.2858111933</c:v>
                </c:pt>
                <c:pt idx="10">
                  <c:v>9903814.9642388225</c:v>
                </c:pt>
                <c:pt idx="11">
                  <c:v>19892829.059619695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41-4B3B-97E3-D7E147E2642A}"/>
            </c:ext>
          </c:extLst>
        </c:ser>
        <c:ser>
          <c:idx val="1"/>
          <c:order val="1"/>
          <c:tx>
            <c:strRef>
              <c:f>'🏦 Plan Ahorro'!$H$12</c:f>
              <c:strCache>
                <c:ptCount val="1"/>
                <c:pt idx="0">
                  <c:v>Saldo Inversión</c:v>
                </c:pt>
              </c:strCache>
            </c:strRef>
          </c:tx>
          <c:spPr>
            <a:solidFill>
              <a:srgbClr val="F2A90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'🏦 Plan Ahorro'!$B$13:$B$25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'🏦 Plan Ahorro'!$H$13:$H$25</c:f>
              <c:numCache>
                <c:formatCode>\$#,##0.00</c:formatCode>
                <c:ptCount val="13"/>
                <c:pt idx="0">
                  <c:v>1562.3599176648013</c:v>
                </c:pt>
                <c:pt idx="1">
                  <c:v>6249.5382303783535</c:v>
                </c:pt>
                <c:pt idx="2">
                  <c:v>15661.27107388635</c:v>
                </c:pt>
                <c:pt idx="3">
                  <c:v>34559.787240275808</c:v>
                </c:pt>
                <c:pt idx="4">
                  <c:v>72507.518994863422</c:v>
                </c:pt>
                <c:pt idx="5">
                  <c:v>148705.58304600811</c:v>
                </c:pt>
                <c:pt idx="6">
                  <c:v>301709.32521145191</c:v>
                </c:pt>
                <c:pt idx="7">
                  <c:v>608936.88286851463</c:v>
                </c:pt>
                <c:pt idx="8">
                  <c:v>1225841.8738710266</c:v>
                </c:pt>
                <c:pt idx="9">
                  <c:v>2464571.1429055966</c:v>
                </c:pt>
                <c:pt idx="10">
                  <c:v>4951907.4821194112</c:v>
                </c:pt>
                <c:pt idx="11">
                  <c:v>9946414.5298098475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41-4B3B-97E3-D7E147E26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7770617"/>
        <c:axId val="68774802"/>
      </c:barChart>
      <c:catAx>
        <c:axId val="27770617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lang="es-MX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MX" sz="1000" b="1" strike="noStrike" spc="-1">
                    <a:solidFill>
                      <a:srgbClr val="000000"/>
                    </a:solidFill>
                    <a:latin typeface="Calibri"/>
                  </a:rPr>
                  <a:t>Mes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68774802"/>
        <c:crosses val="autoZero"/>
        <c:auto val="1"/>
        <c:lblAlgn val="ctr"/>
        <c:lblOffset val="100"/>
        <c:noMultiLvlLbl val="0"/>
      </c:catAx>
      <c:valAx>
        <c:axId val="6877480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MX" sz="1000" b="1" strike="noStrike" spc="-1">
                    <a:solidFill>
                      <a:srgbClr val="000000"/>
                    </a:solidFill>
                    <a:latin typeface="Calibri"/>
                  </a:rPr>
                  <a:t>Saldo ($MXN)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277706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MX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MX" sz="1800" b="1" strike="noStrike" spc="-1">
                <a:solidFill>
                  <a:srgbClr val="000000"/>
                </a:solidFill>
                <a:latin typeface="Calibri"/>
              </a:rPr>
              <a:t>Gasto por Categoría de Producto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'📊 Análisis Tickets'!$J$4</c:f>
              <c:strCache>
                <c:ptCount val="1"/>
                <c:pt idx="0">
                  <c:v>Gasto</c:v>
                </c:pt>
              </c:strCache>
            </c:strRef>
          </c:tx>
          <c:spPr>
            <a:solidFill>
              <a:srgbClr val="0D7377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MX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'📊 Análisis Tickets'!$I$5:$I$14</c:f>
              <c:strCache>
                <c:ptCount val="10"/>
                <c:pt idx="0">
                  <c:v>Carnes y Proteínas</c:v>
                </c:pt>
                <c:pt idx="1">
                  <c:v>Lácteos y Huevo</c:v>
                </c:pt>
                <c:pt idx="2">
                  <c:v>Abarrotes/Despensa</c:v>
                </c:pt>
                <c:pt idx="3">
                  <c:v>Limpieza Hogar</c:v>
                </c:pt>
                <c:pt idx="4">
                  <c:v>Frutas y Verduras</c:v>
                </c:pt>
                <c:pt idx="5">
                  <c:v>Higiene Personal</c:v>
                </c:pt>
                <c:pt idx="6">
                  <c:v>Pan y Cereales</c:v>
                </c:pt>
                <c:pt idx="7">
                  <c:v>Bebidas</c:v>
                </c:pt>
                <c:pt idx="8">
                  <c:v>Botanas y Dulces</c:v>
                </c:pt>
                <c:pt idx="9">
                  <c:v>Otros</c:v>
                </c:pt>
              </c:strCache>
            </c:strRef>
          </c:cat>
          <c:val>
            <c:numRef>
              <c:f>'📊 Análisis Tickets'!$J$5:$J$14</c:f>
              <c:numCache>
                <c:formatCode>General</c:formatCode>
                <c:ptCount val="10"/>
                <c:pt idx="0">
                  <c:v>1867</c:v>
                </c:pt>
                <c:pt idx="1">
                  <c:v>1145</c:v>
                </c:pt>
                <c:pt idx="2">
                  <c:v>1026</c:v>
                </c:pt>
                <c:pt idx="3">
                  <c:v>364.2</c:v>
                </c:pt>
                <c:pt idx="4">
                  <c:v>306</c:v>
                </c:pt>
                <c:pt idx="5">
                  <c:v>266</c:v>
                </c:pt>
                <c:pt idx="6">
                  <c:v>248.9</c:v>
                </c:pt>
                <c:pt idx="7">
                  <c:v>236</c:v>
                </c:pt>
                <c:pt idx="8">
                  <c:v>90</c:v>
                </c:pt>
                <c:pt idx="9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13-4063-8DDA-E48C9CDF30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79115"/>
        <c:axId val="8162856"/>
      </c:barChart>
      <c:catAx>
        <c:axId val="5279115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lang="es-MX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MX" sz="1000" b="1" strike="noStrike" spc="-1">
                    <a:solidFill>
                      <a:srgbClr val="000000"/>
                    </a:solidFill>
                    <a:latin typeface="Calibri"/>
                  </a:rPr>
                  <a:t>MXN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8162856"/>
        <c:crosses val="autoZero"/>
        <c:auto val="1"/>
        <c:lblAlgn val="ctr"/>
        <c:lblOffset val="100"/>
        <c:noMultiLvlLbl val="0"/>
      </c:catAx>
      <c:valAx>
        <c:axId val="816285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52791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104775</xdr:colOff>
      <xdr:row>6</xdr:row>
      <xdr:rowOff>295275</xdr:rowOff>
    </xdr:from>
    <xdr:to>
      <xdr:col>16</xdr:col>
      <xdr:colOff>269175</xdr:colOff>
      <xdr:row>23</xdr:row>
      <xdr:rowOff>59865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21</xdr:row>
      <xdr:rowOff>0</xdr:rowOff>
    </xdr:from>
    <xdr:to>
      <xdr:col>18</xdr:col>
      <xdr:colOff>137505</xdr:colOff>
      <xdr:row>35</xdr:row>
      <xdr:rowOff>67680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0</xdr:rowOff>
    </xdr:from>
    <xdr:to>
      <xdr:col>9</xdr:col>
      <xdr:colOff>234360</xdr:colOff>
      <xdr:row>53</xdr:row>
      <xdr:rowOff>105480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9</xdr:row>
      <xdr:rowOff>0</xdr:rowOff>
    </xdr:from>
    <xdr:to>
      <xdr:col>16</xdr:col>
      <xdr:colOff>444960</xdr:colOff>
      <xdr:row>28</xdr:row>
      <xdr:rowOff>73800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25</xdr:row>
      <xdr:rowOff>0</xdr:rowOff>
    </xdr:from>
    <xdr:to>
      <xdr:col>6</xdr:col>
      <xdr:colOff>455040</xdr:colOff>
      <xdr:row>51</xdr:row>
      <xdr:rowOff>83520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26</xdr:row>
      <xdr:rowOff>0</xdr:rowOff>
    </xdr:from>
    <xdr:to>
      <xdr:col>7</xdr:col>
      <xdr:colOff>1056960</xdr:colOff>
      <xdr:row>46</xdr:row>
      <xdr:rowOff>201600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21</xdr:row>
      <xdr:rowOff>0</xdr:rowOff>
    </xdr:from>
    <xdr:to>
      <xdr:col>17</xdr:col>
      <xdr:colOff>420120</xdr:colOff>
      <xdr:row>40</xdr:row>
      <xdr:rowOff>141840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392B"/>
  </sheetPr>
  <dimension ref="B1:H36"/>
  <sheetViews>
    <sheetView showGridLines="0" topLeftCell="A15" zoomScaleNormal="100" workbookViewId="0">
      <selection activeCell="C13" sqref="C13"/>
    </sheetView>
  </sheetViews>
  <sheetFormatPr baseColWidth="10" defaultColWidth="8.7109375" defaultRowHeight="15" x14ac:dyDescent="0.25"/>
  <cols>
    <col min="1" max="1" width="3" customWidth="1"/>
    <col min="2" max="2" width="32.7109375" bestFit="1" customWidth="1"/>
    <col min="3" max="3" width="17.28515625" bestFit="1" customWidth="1"/>
    <col min="4" max="4" width="16.5703125" bestFit="1" customWidth="1"/>
    <col min="5" max="5" width="37.28515625" bestFit="1" customWidth="1"/>
    <col min="6" max="6" width="18" customWidth="1"/>
    <col min="7" max="7" width="9.5703125" bestFit="1" customWidth="1"/>
  </cols>
  <sheetData>
    <row r="1" spans="2:8" ht="7.5" customHeight="1" x14ac:dyDescent="0.25">
      <c r="B1" s="14"/>
      <c r="C1" s="14"/>
      <c r="D1" s="14"/>
      <c r="E1" s="14"/>
      <c r="F1" s="14"/>
    </row>
    <row r="2" spans="2:8" ht="51.75" customHeight="1" x14ac:dyDescent="0.25">
      <c r="B2" s="13" t="s">
        <v>0</v>
      </c>
      <c r="C2" s="13"/>
      <c r="D2" s="13"/>
      <c r="E2" s="13"/>
      <c r="F2" s="13"/>
    </row>
    <row r="3" spans="2:8" ht="19.5" customHeight="1" x14ac:dyDescent="0.25">
      <c r="B3" s="12" t="s">
        <v>1</v>
      </c>
      <c r="C3" s="12"/>
      <c r="D3" s="12"/>
      <c r="E3" s="12"/>
      <c r="F3" s="12"/>
    </row>
    <row r="4" spans="2:8" ht="7.5" customHeight="1" x14ac:dyDescent="0.25"/>
    <row r="5" spans="2:8" ht="13.5" customHeight="1" x14ac:dyDescent="0.25">
      <c r="B5" s="15"/>
      <c r="C5" s="16"/>
      <c r="D5" s="15"/>
      <c r="E5" s="15"/>
    </row>
    <row r="6" spans="2:8" ht="30" customHeight="1" x14ac:dyDescent="0.25">
      <c r="B6" s="17" t="s">
        <v>2</v>
      </c>
      <c r="C6" s="18" t="s">
        <v>3</v>
      </c>
      <c r="D6" s="17" t="s">
        <v>4</v>
      </c>
      <c r="E6" s="17" t="s">
        <v>5</v>
      </c>
    </row>
    <row r="7" spans="2:8" ht="36" customHeight="1" x14ac:dyDescent="0.25">
      <c r="B7" s="19" t="s">
        <v>6</v>
      </c>
      <c r="C7" s="20" t="s">
        <v>7</v>
      </c>
      <c r="D7" s="19" t="s">
        <v>8</v>
      </c>
      <c r="E7" s="19" t="s">
        <v>9</v>
      </c>
    </row>
    <row r="8" spans="2:8" ht="13.5" customHeight="1" x14ac:dyDescent="0.25">
      <c r="B8" s="15"/>
      <c r="C8" s="16"/>
      <c r="D8" s="15"/>
      <c r="E8" s="15"/>
    </row>
    <row r="9" spans="2:8" ht="7.5" customHeight="1" x14ac:dyDescent="0.25"/>
    <row r="10" spans="2:8" ht="27.75" customHeight="1" x14ac:dyDescent="0.25">
      <c r="B10" s="11" t="s">
        <v>10</v>
      </c>
      <c r="C10" s="11"/>
      <c r="D10" s="11"/>
      <c r="E10" s="11"/>
    </row>
    <row r="11" spans="2:8" ht="21.75" customHeight="1" x14ac:dyDescent="0.25">
      <c r="B11" s="21" t="s">
        <v>11</v>
      </c>
      <c r="C11" s="21" t="s">
        <v>12</v>
      </c>
      <c r="D11" s="21" t="s">
        <v>13</v>
      </c>
      <c r="E11" s="21" t="s">
        <v>14</v>
      </c>
    </row>
    <row r="12" spans="2:8" ht="21" customHeight="1" x14ac:dyDescent="0.25">
      <c r="B12" s="22" t="s">
        <v>15</v>
      </c>
      <c r="C12" s="23">
        <v>6637.7</v>
      </c>
      <c r="D12" s="24">
        <v>0.30461243910229402</v>
      </c>
      <c r="E12" s="25" t="s">
        <v>16</v>
      </c>
      <c r="G12" t="s">
        <v>17</v>
      </c>
      <c r="H12">
        <v>6637.7</v>
      </c>
    </row>
    <row r="13" spans="2:8" ht="21" customHeight="1" x14ac:dyDescent="0.25">
      <c r="B13" s="26" t="s">
        <v>18</v>
      </c>
      <c r="C13" s="27">
        <v>4241.3900000000003</v>
      </c>
      <c r="D13" s="28">
        <v>0.194642745692646</v>
      </c>
      <c r="E13" s="25" t="s">
        <v>19</v>
      </c>
      <c r="G13" t="s">
        <v>20</v>
      </c>
      <c r="H13">
        <v>4241.3900000000003</v>
      </c>
    </row>
    <row r="14" spans="2:8" ht="21" customHeight="1" x14ac:dyDescent="0.25">
      <c r="B14" s="22" t="s">
        <v>21</v>
      </c>
      <c r="C14" s="29">
        <v>2635.75</v>
      </c>
      <c r="D14" s="24">
        <v>0.120957897519302</v>
      </c>
      <c r="E14" s="30" t="s">
        <v>22</v>
      </c>
      <c r="G14" t="s">
        <v>23</v>
      </c>
      <c r="H14">
        <v>2635.75</v>
      </c>
    </row>
    <row r="15" spans="2:8" ht="21" customHeight="1" x14ac:dyDescent="0.25">
      <c r="B15" s="26" t="s">
        <v>24</v>
      </c>
      <c r="C15" s="31">
        <v>1902</v>
      </c>
      <c r="D15" s="28">
        <v>8.7285182996002006E-2</v>
      </c>
      <c r="E15" s="30" t="s">
        <v>25</v>
      </c>
      <c r="G15" t="s">
        <v>26</v>
      </c>
      <c r="H15">
        <v>1902</v>
      </c>
    </row>
    <row r="16" spans="2:8" ht="21" customHeight="1" x14ac:dyDescent="0.25">
      <c r="B16" s="22" t="s">
        <v>27</v>
      </c>
      <c r="C16" s="23">
        <v>1579</v>
      </c>
      <c r="D16" s="24">
        <v>7.2462304916239298E-2</v>
      </c>
      <c r="E16" s="25" t="s">
        <v>28</v>
      </c>
      <c r="G16" t="s">
        <v>29</v>
      </c>
      <c r="H16">
        <v>1579</v>
      </c>
    </row>
    <row r="17" spans="2:8" ht="21" customHeight="1" x14ac:dyDescent="0.25">
      <c r="B17" s="26" t="s">
        <v>30</v>
      </c>
      <c r="C17" s="31">
        <v>1200.47</v>
      </c>
      <c r="D17" s="28">
        <v>5.5091084979605902E-2</v>
      </c>
      <c r="E17" s="32" t="s">
        <v>31</v>
      </c>
      <c r="G17" t="s">
        <v>32</v>
      </c>
      <c r="H17">
        <v>1200.47</v>
      </c>
    </row>
    <row r="18" spans="2:8" ht="21" customHeight="1" x14ac:dyDescent="0.25">
      <c r="B18" s="22" t="s">
        <v>33</v>
      </c>
      <c r="C18" s="29">
        <v>892.5</v>
      </c>
      <c r="D18" s="24">
        <v>4.0957952588818E-2</v>
      </c>
      <c r="E18" s="30" t="s">
        <v>34</v>
      </c>
      <c r="G18" t="s">
        <v>35</v>
      </c>
      <c r="H18">
        <v>892.5</v>
      </c>
    </row>
    <row r="19" spans="2:8" ht="21" customHeight="1" x14ac:dyDescent="0.25">
      <c r="B19" s="26" t="s">
        <v>36</v>
      </c>
      <c r="C19" s="31">
        <v>855.35</v>
      </c>
      <c r="D19" s="28">
        <v>3.9253092153328201E-2</v>
      </c>
      <c r="E19" s="30" t="s">
        <v>37</v>
      </c>
      <c r="G19" t="s">
        <v>38</v>
      </c>
      <c r="H19">
        <v>855.35</v>
      </c>
    </row>
    <row r="20" spans="2:8" ht="21" customHeight="1" x14ac:dyDescent="0.25">
      <c r="B20" s="22" t="s">
        <v>39</v>
      </c>
      <c r="C20" s="29">
        <v>850</v>
      </c>
      <c r="D20" s="24">
        <v>3.9007573894112302E-2</v>
      </c>
      <c r="E20" s="30" t="s">
        <v>40</v>
      </c>
      <c r="G20" t="s">
        <v>41</v>
      </c>
      <c r="H20">
        <v>850</v>
      </c>
    </row>
    <row r="21" spans="2:8" ht="21" customHeight="1" x14ac:dyDescent="0.25">
      <c r="B21" s="26" t="s">
        <v>42</v>
      </c>
      <c r="C21" s="27">
        <v>479</v>
      </c>
      <c r="D21" s="28">
        <v>2.1981915170917399E-2</v>
      </c>
      <c r="E21" s="25" t="s">
        <v>43</v>
      </c>
      <c r="G21" t="s">
        <v>44</v>
      </c>
      <c r="H21">
        <v>479</v>
      </c>
    </row>
    <row r="22" spans="2:8" ht="21" customHeight="1" x14ac:dyDescent="0.25">
      <c r="B22" s="22" t="s">
        <v>45</v>
      </c>
      <c r="C22" s="23">
        <v>329</v>
      </c>
      <c r="D22" s="24">
        <v>1.50982256601917E-2</v>
      </c>
      <c r="E22" s="33" t="s">
        <v>46</v>
      </c>
      <c r="G22" t="s">
        <v>47</v>
      </c>
      <c r="H22">
        <v>329</v>
      </c>
    </row>
    <row r="23" spans="2:8" ht="21" customHeight="1" x14ac:dyDescent="0.25">
      <c r="B23" s="26" t="s">
        <v>48</v>
      </c>
      <c r="C23" s="34">
        <v>161</v>
      </c>
      <c r="D23" s="28">
        <v>7.3884934081789302E-3</v>
      </c>
      <c r="E23" s="35" t="s">
        <v>49</v>
      </c>
      <c r="G23" t="s">
        <v>50</v>
      </c>
      <c r="H23">
        <v>161</v>
      </c>
    </row>
    <row r="24" spans="2:8" ht="24" customHeight="1" x14ac:dyDescent="0.25">
      <c r="B24" s="36" t="s">
        <v>51</v>
      </c>
      <c r="C24" s="37">
        <v>21790.639999999999</v>
      </c>
      <c r="D24" s="38">
        <v>1</v>
      </c>
      <c r="E24" s="39"/>
    </row>
    <row r="25" spans="2:8" ht="7.5" customHeight="1" x14ac:dyDescent="0.25"/>
    <row r="26" spans="2:8" ht="27.75" customHeight="1" x14ac:dyDescent="0.25">
      <c r="B26" s="11" t="s">
        <v>52</v>
      </c>
      <c r="C26" s="11"/>
      <c r="D26" s="11"/>
      <c r="E26" s="11"/>
    </row>
    <row r="27" spans="2:8" ht="21.75" customHeight="1" x14ac:dyDescent="0.25">
      <c r="B27" s="10" t="s">
        <v>53</v>
      </c>
      <c r="C27" s="10"/>
      <c r="D27" s="10"/>
      <c r="E27" s="10"/>
    </row>
    <row r="28" spans="2:8" ht="27.75" customHeight="1" x14ac:dyDescent="0.25">
      <c r="B28" s="9" t="s">
        <v>54</v>
      </c>
      <c r="C28" s="9"/>
      <c r="D28" s="9"/>
      <c r="E28" s="9"/>
    </row>
    <row r="29" spans="2:8" ht="21.75" customHeight="1" x14ac:dyDescent="0.25">
      <c r="B29" s="10" t="s">
        <v>55</v>
      </c>
      <c r="C29" s="10"/>
      <c r="D29" s="10"/>
      <c r="E29" s="10"/>
    </row>
    <row r="30" spans="2:8" ht="27.75" customHeight="1" x14ac:dyDescent="0.25">
      <c r="B30" s="9" t="s">
        <v>56</v>
      </c>
      <c r="C30" s="9"/>
      <c r="D30" s="9"/>
      <c r="E30" s="9"/>
    </row>
    <row r="31" spans="2:8" ht="21.75" customHeight="1" x14ac:dyDescent="0.25">
      <c r="B31" s="10" t="s">
        <v>57</v>
      </c>
      <c r="C31" s="10"/>
      <c r="D31" s="10"/>
      <c r="E31" s="10"/>
    </row>
    <row r="32" spans="2:8" ht="27.75" customHeight="1" x14ac:dyDescent="0.25">
      <c r="B32" s="9" t="s">
        <v>58</v>
      </c>
      <c r="C32" s="9"/>
      <c r="D32" s="9"/>
      <c r="E32" s="9"/>
    </row>
    <row r="33" spans="2:5" ht="21.75" customHeight="1" x14ac:dyDescent="0.25">
      <c r="B33" s="10" t="s">
        <v>59</v>
      </c>
      <c r="C33" s="10"/>
      <c r="D33" s="10"/>
      <c r="E33" s="10"/>
    </row>
    <row r="34" spans="2:5" ht="27.75" customHeight="1" x14ac:dyDescent="0.25">
      <c r="B34" s="9" t="s">
        <v>60</v>
      </c>
      <c r="C34" s="9"/>
      <c r="D34" s="9"/>
      <c r="E34" s="9"/>
    </row>
    <row r="35" spans="2:5" ht="21.75" customHeight="1" x14ac:dyDescent="0.25">
      <c r="B35" s="10" t="s">
        <v>61</v>
      </c>
      <c r="C35" s="10"/>
      <c r="D35" s="10"/>
      <c r="E35" s="10"/>
    </row>
    <row r="36" spans="2:5" ht="27.75" customHeight="1" x14ac:dyDescent="0.25">
      <c r="B36" s="9" t="s">
        <v>62</v>
      </c>
      <c r="C36" s="9"/>
      <c r="D36" s="9"/>
      <c r="E36" s="9"/>
    </row>
  </sheetData>
  <mergeCells count="15">
    <mergeCell ref="B32:E32"/>
    <mergeCell ref="B33:E33"/>
    <mergeCell ref="B34:E34"/>
    <mergeCell ref="B35:E35"/>
    <mergeCell ref="B36:E36"/>
    <mergeCell ref="B27:E27"/>
    <mergeCell ref="B28:E28"/>
    <mergeCell ref="B29:E29"/>
    <mergeCell ref="B30:E30"/>
    <mergeCell ref="B31:E31"/>
    <mergeCell ref="B1:F1"/>
    <mergeCell ref="B2:F2"/>
    <mergeCell ref="B3:F3"/>
    <mergeCell ref="B10:E10"/>
    <mergeCell ref="B26:E26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8449"/>
  </sheetPr>
  <dimension ref="B1:J33"/>
  <sheetViews>
    <sheetView showGridLines="0" topLeftCell="A2" zoomScaleNormal="100" workbookViewId="0">
      <selection activeCell="D10" sqref="D10"/>
    </sheetView>
  </sheetViews>
  <sheetFormatPr baseColWidth="10" defaultColWidth="8.7109375" defaultRowHeight="15" x14ac:dyDescent="0.25"/>
  <cols>
    <col min="1" max="1" width="3" customWidth="1"/>
    <col min="2" max="2" width="26" bestFit="1" customWidth="1"/>
    <col min="3" max="3" width="13.28515625" bestFit="1" customWidth="1"/>
    <col min="4" max="4" width="22.85546875" bestFit="1" customWidth="1"/>
    <col min="5" max="5" width="19.140625" bestFit="1" customWidth="1"/>
    <col min="6" max="6" width="43.42578125" bestFit="1" customWidth="1"/>
    <col min="7" max="7" width="3" customWidth="1"/>
    <col min="8" max="8" width="19" bestFit="1" customWidth="1"/>
    <col min="9" max="9" width="6.5703125" bestFit="1" customWidth="1"/>
    <col min="10" max="10" width="5.5703125" bestFit="1" customWidth="1"/>
  </cols>
  <sheetData>
    <row r="1" spans="2:10" ht="7.5" customHeight="1" x14ac:dyDescent="0.25"/>
    <row r="2" spans="2:10" ht="51.75" customHeight="1" x14ac:dyDescent="0.25">
      <c r="B2" s="8" t="s">
        <v>63</v>
      </c>
      <c r="C2" s="8"/>
      <c r="D2" s="8"/>
      <c r="E2" s="8"/>
      <c r="F2" s="8"/>
    </row>
    <row r="3" spans="2:10" ht="19.5" customHeight="1" x14ac:dyDescent="0.25">
      <c r="B3" s="12" t="s">
        <v>64</v>
      </c>
      <c r="C3" s="12"/>
      <c r="D3" s="12"/>
      <c r="E3" s="12"/>
      <c r="F3" s="12"/>
    </row>
    <row r="4" spans="2:10" ht="7.5" customHeight="1" x14ac:dyDescent="0.25"/>
    <row r="5" spans="2:10" ht="27.75" customHeight="1" x14ac:dyDescent="0.25">
      <c r="B5" s="7" t="s">
        <v>65</v>
      </c>
      <c r="C5" s="7"/>
      <c r="D5" s="7"/>
      <c r="E5" s="7"/>
    </row>
    <row r="6" spans="2:10" ht="21.75" customHeight="1" x14ac:dyDescent="0.25">
      <c r="B6" s="40" t="s">
        <v>11</v>
      </c>
      <c r="C6" s="40" t="s">
        <v>66</v>
      </c>
      <c r="D6" s="40" t="s">
        <v>67</v>
      </c>
      <c r="E6" s="40" t="s">
        <v>68</v>
      </c>
      <c r="H6" t="s">
        <v>11</v>
      </c>
      <c r="I6" t="s">
        <v>69</v>
      </c>
      <c r="J6" t="s">
        <v>70</v>
      </c>
    </row>
    <row r="7" spans="2:10" ht="21.75" customHeight="1" x14ac:dyDescent="0.25">
      <c r="B7" s="22" t="s">
        <v>71</v>
      </c>
      <c r="C7" s="41">
        <v>5400</v>
      </c>
      <c r="D7" s="42">
        <v>4500</v>
      </c>
      <c r="E7" s="43">
        <v>900</v>
      </c>
      <c r="F7" s="44" t="s">
        <v>72</v>
      </c>
      <c r="H7" t="s">
        <v>73</v>
      </c>
      <c r="I7">
        <v>5400</v>
      </c>
      <c r="J7">
        <v>4500</v>
      </c>
    </row>
    <row r="8" spans="2:10" ht="21.75" customHeight="1" x14ac:dyDescent="0.25">
      <c r="B8" s="26" t="s">
        <v>18</v>
      </c>
      <c r="C8" s="45">
        <v>3400</v>
      </c>
      <c r="D8" s="46">
        <v>2800</v>
      </c>
      <c r="E8" s="43">
        <v>600</v>
      </c>
      <c r="F8" s="47" t="s">
        <v>74</v>
      </c>
      <c r="H8" t="s">
        <v>18</v>
      </c>
      <c r="I8">
        <v>3400</v>
      </c>
      <c r="J8">
        <v>2800</v>
      </c>
    </row>
    <row r="9" spans="2:10" ht="21.75" customHeight="1" x14ac:dyDescent="0.25">
      <c r="B9" s="22" t="s">
        <v>75</v>
      </c>
      <c r="C9" s="41">
        <v>2100</v>
      </c>
      <c r="D9" s="42">
        <v>600</v>
      </c>
      <c r="E9" s="43">
        <v>1500</v>
      </c>
      <c r="F9" s="44" t="s">
        <v>76</v>
      </c>
      <c r="H9" t="s">
        <v>77</v>
      </c>
      <c r="I9">
        <v>2100</v>
      </c>
      <c r="J9">
        <v>600</v>
      </c>
    </row>
    <row r="10" spans="2:10" ht="21.75" customHeight="1" x14ac:dyDescent="0.25">
      <c r="B10" s="26" t="s">
        <v>78</v>
      </c>
      <c r="C10" s="45">
        <v>1500</v>
      </c>
      <c r="D10" s="46">
        <v>300</v>
      </c>
      <c r="E10" s="43">
        <v>1200</v>
      </c>
      <c r="F10" s="47" t="s">
        <v>79</v>
      </c>
      <c r="H10" t="s">
        <v>80</v>
      </c>
      <c r="I10">
        <v>1500</v>
      </c>
      <c r="J10">
        <v>300</v>
      </c>
    </row>
    <row r="11" spans="2:10" ht="21.75" customHeight="1" x14ac:dyDescent="0.25">
      <c r="B11" s="22" t="s">
        <v>81</v>
      </c>
      <c r="C11" s="41">
        <v>700</v>
      </c>
      <c r="D11" s="42">
        <v>0</v>
      </c>
      <c r="E11" s="43">
        <v>700</v>
      </c>
      <c r="F11" s="44" t="s">
        <v>82</v>
      </c>
      <c r="H11" t="s">
        <v>81</v>
      </c>
      <c r="I11">
        <v>700</v>
      </c>
      <c r="J11">
        <v>0</v>
      </c>
    </row>
    <row r="12" spans="2:10" ht="21.75" customHeight="1" x14ac:dyDescent="0.25">
      <c r="B12" s="26" t="s">
        <v>83</v>
      </c>
      <c r="C12" s="48">
        <v>900</v>
      </c>
      <c r="D12" s="46">
        <v>900</v>
      </c>
      <c r="E12" s="49"/>
      <c r="F12" s="47" t="s">
        <v>84</v>
      </c>
      <c r="H12" t="s">
        <v>83</v>
      </c>
      <c r="I12">
        <v>900</v>
      </c>
      <c r="J12">
        <v>900</v>
      </c>
    </row>
    <row r="13" spans="2:10" ht="21.75" customHeight="1" x14ac:dyDescent="0.25">
      <c r="B13" s="22" t="s">
        <v>85</v>
      </c>
      <c r="C13" s="50">
        <v>1200</v>
      </c>
      <c r="D13" s="42">
        <v>1200</v>
      </c>
      <c r="E13" s="51"/>
      <c r="F13" s="44" t="s">
        <v>86</v>
      </c>
      <c r="H13" t="s">
        <v>87</v>
      </c>
      <c r="I13">
        <v>1200</v>
      </c>
      <c r="J13">
        <v>1200</v>
      </c>
    </row>
    <row r="14" spans="2:10" ht="21.75" customHeight="1" x14ac:dyDescent="0.25">
      <c r="B14" s="26" t="s">
        <v>88</v>
      </c>
      <c r="C14" s="45">
        <v>700</v>
      </c>
      <c r="D14" s="46">
        <v>200</v>
      </c>
      <c r="E14" s="43">
        <v>500</v>
      </c>
      <c r="F14" s="47" t="s">
        <v>89</v>
      </c>
      <c r="H14" t="s">
        <v>90</v>
      </c>
      <c r="I14">
        <v>700</v>
      </c>
      <c r="J14">
        <v>200</v>
      </c>
    </row>
    <row r="15" spans="2:10" ht="21.75" customHeight="1" x14ac:dyDescent="0.25">
      <c r="B15" s="22" t="s">
        <v>91</v>
      </c>
      <c r="C15" s="41">
        <v>700</v>
      </c>
      <c r="D15" s="42">
        <v>300</v>
      </c>
      <c r="E15" s="43">
        <v>400</v>
      </c>
      <c r="F15" s="44" t="s">
        <v>92</v>
      </c>
      <c r="H15" t="s">
        <v>91</v>
      </c>
      <c r="I15">
        <v>700</v>
      </c>
      <c r="J15">
        <v>300</v>
      </c>
    </row>
    <row r="16" spans="2:10" ht="21.75" customHeight="1" x14ac:dyDescent="0.25">
      <c r="B16" s="26" t="s">
        <v>42</v>
      </c>
      <c r="C16" s="45">
        <v>479</v>
      </c>
      <c r="D16" s="46">
        <v>399</v>
      </c>
      <c r="E16" s="43">
        <v>80</v>
      </c>
      <c r="F16" s="47" t="s">
        <v>93</v>
      </c>
      <c r="H16" t="s">
        <v>94</v>
      </c>
      <c r="I16">
        <v>479</v>
      </c>
      <c r="J16">
        <v>399</v>
      </c>
    </row>
    <row r="17" spans="2:10" ht="21.75" customHeight="1" x14ac:dyDescent="0.25">
      <c r="B17" s="22" t="s">
        <v>45</v>
      </c>
      <c r="C17" s="50">
        <v>329</v>
      </c>
      <c r="D17" s="42">
        <v>329</v>
      </c>
      <c r="E17" s="51"/>
      <c r="F17" s="44" t="s">
        <v>95</v>
      </c>
      <c r="H17" t="s">
        <v>45</v>
      </c>
      <c r="I17">
        <v>329</v>
      </c>
      <c r="J17">
        <v>329</v>
      </c>
    </row>
    <row r="18" spans="2:10" ht="21.75" customHeight="1" x14ac:dyDescent="0.25">
      <c r="B18" s="26" t="s">
        <v>96</v>
      </c>
      <c r="C18" s="48">
        <v>161</v>
      </c>
      <c r="D18" s="46">
        <v>500</v>
      </c>
      <c r="E18" s="52">
        <v>-339</v>
      </c>
      <c r="F18" s="47" t="s">
        <v>97</v>
      </c>
      <c r="H18" t="s">
        <v>96</v>
      </c>
      <c r="I18">
        <v>161</v>
      </c>
      <c r="J18">
        <v>500</v>
      </c>
    </row>
    <row r="19" spans="2:10" ht="21.75" customHeight="1" x14ac:dyDescent="0.25">
      <c r="B19" s="22" t="s">
        <v>98</v>
      </c>
      <c r="C19" s="50">
        <v>0</v>
      </c>
      <c r="D19" s="42">
        <v>500</v>
      </c>
      <c r="E19" s="52">
        <v>-500</v>
      </c>
      <c r="F19" s="44" t="s">
        <v>99</v>
      </c>
      <c r="H19" t="s">
        <v>100</v>
      </c>
      <c r="I19">
        <v>0</v>
      </c>
      <c r="J19">
        <v>500</v>
      </c>
    </row>
    <row r="20" spans="2:10" ht="21.75" customHeight="1" x14ac:dyDescent="0.25">
      <c r="B20" s="26" t="s">
        <v>101</v>
      </c>
      <c r="C20" s="48">
        <v>0</v>
      </c>
      <c r="D20" s="46">
        <v>500</v>
      </c>
      <c r="E20" s="52">
        <v>-500</v>
      </c>
      <c r="F20" s="47" t="s">
        <v>102</v>
      </c>
      <c r="H20" t="s">
        <v>103</v>
      </c>
      <c r="I20">
        <v>0</v>
      </c>
      <c r="J20">
        <v>500</v>
      </c>
    </row>
    <row r="21" spans="2:10" ht="25.5" customHeight="1" x14ac:dyDescent="0.25">
      <c r="B21" s="36" t="s">
        <v>104</v>
      </c>
      <c r="C21" s="53">
        <v>17569</v>
      </c>
      <c r="D21" s="53">
        <v>13028</v>
      </c>
      <c r="E21" s="53">
        <v>4541</v>
      </c>
      <c r="F21" s="39"/>
    </row>
    <row r="22" spans="2:10" ht="7.5" customHeight="1" x14ac:dyDescent="0.25"/>
    <row r="23" spans="2:10" ht="21.75" customHeight="1" x14ac:dyDescent="0.25">
      <c r="B23" s="6" t="s">
        <v>105</v>
      </c>
      <c r="C23" s="6"/>
      <c r="D23" s="46">
        <v>10000</v>
      </c>
    </row>
    <row r="24" spans="2:10" ht="21.75" customHeight="1" x14ac:dyDescent="0.25">
      <c r="B24" s="5" t="s">
        <v>106</v>
      </c>
      <c r="C24" s="5"/>
      <c r="D24" s="43">
        <v>-3028</v>
      </c>
    </row>
    <row r="25" spans="2:10" ht="7.5" customHeight="1" x14ac:dyDescent="0.25"/>
    <row r="26" spans="2:10" ht="27.75" customHeight="1" x14ac:dyDescent="0.25">
      <c r="B26" s="4" t="s">
        <v>107</v>
      </c>
      <c r="C26" s="4"/>
      <c r="D26" s="4"/>
      <c r="E26" s="4"/>
    </row>
    <row r="27" spans="2:10" ht="21.75" customHeight="1" x14ac:dyDescent="0.25">
      <c r="B27" s="21" t="s">
        <v>108</v>
      </c>
      <c r="C27" s="21" t="s">
        <v>109</v>
      </c>
      <c r="D27" s="21" t="s">
        <v>110</v>
      </c>
      <c r="E27" s="21" t="s">
        <v>111</v>
      </c>
    </row>
    <row r="28" spans="2:10" ht="37.5" customHeight="1" x14ac:dyDescent="0.25">
      <c r="B28" s="54" t="s">
        <v>112</v>
      </c>
      <c r="C28" s="55" t="s">
        <v>113</v>
      </c>
      <c r="D28" s="56" t="s">
        <v>114</v>
      </c>
      <c r="E28" s="57" t="s">
        <v>115</v>
      </c>
    </row>
    <row r="29" spans="2:10" ht="37.5" customHeight="1" x14ac:dyDescent="0.25">
      <c r="B29" s="58" t="s">
        <v>116</v>
      </c>
      <c r="C29" s="59" t="s">
        <v>113</v>
      </c>
      <c r="D29" s="60" t="s">
        <v>117</v>
      </c>
      <c r="E29" s="61" t="s">
        <v>118</v>
      </c>
    </row>
    <row r="30" spans="2:10" ht="37.5" customHeight="1" x14ac:dyDescent="0.25">
      <c r="B30" s="54" t="s">
        <v>119</v>
      </c>
      <c r="C30" s="62" t="s">
        <v>120</v>
      </c>
      <c r="D30" s="56" t="s">
        <v>121</v>
      </c>
      <c r="E30" s="57" t="s">
        <v>122</v>
      </c>
    </row>
    <row r="31" spans="2:10" ht="37.5" customHeight="1" x14ac:dyDescent="0.25">
      <c r="B31" s="58" t="s">
        <v>123</v>
      </c>
      <c r="C31" s="63" t="s">
        <v>120</v>
      </c>
      <c r="D31" s="60" t="s">
        <v>124</v>
      </c>
      <c r="E31" s="61" t="s">
        <v>125</v>
      </c>
    </row>
    <row r="32" spans="2:10" ht="37.5" customHeight="1" x14ac:dyDescent="0.25">
      <c r="B32" s="54" t="s">
        <v>126</v>
      </c>
      <c r="C32" s="64" t="s">
        <v>127</v>
      </c>
      <c r="D32" s="56" t="s">
        <v>128</v>
      </c>
      <c r="E32" s="57" t="s">
        <v>129</v>
      </c>
    </row>
    <row r="33" spans="2:5" ht="37.5" customHeight="1" x14ac:dyDescent="0.25">
      <c r="B33" s="58" t="s">
        <v>130</v>
      </c>
      <c r="C33" s="65" t="s">
        <v>127</v>
      </c>
      <c r="D33" s="60" t="s">
        <v>131</v>
      </c>
      <c r="E33" s="61" t="s">
        <v>132</v>
      </c>
    </row>
  </sheetData>
  <mergeCells count="6">
    <mergeCell ref="B26:E26"/>
    <mergeCell ref="B2:F2"/>
    <mergeCell ref="B3:F3"/>
    <mergeCell ref="B5:E5"/>
    <mergeCell ref="B23:C23"/>
    <mergeCell ref="B24:C2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D7377"/>
  </sheetPr>
  <dimension ref="B1:L28"/>
  <sheetViews>
    <sheetView showGridLines="0" zoomScaleNormal="100" workbookViewId="0">
      <pane xSplit="2" ySplit="14" topLeftCell="C15" activePane="bottomRight" state="frozen"/>
      <selection pane="topRight" activeCell="C1" sqref="C1"/>
      <selection pane="bottomLeft" activeCell="A15" sqref="A15"/>
      <selection pane="bottomRight"/>
    </sheetView>
  </sheetViews>
  <sheetFormatPr baseColWidth="10" defaultColWidth="8.7109375" defaultRowHeight="15" x14ac:dyDescent="0.25"/>
  <cols>
    <col min="1" max="1" width="3" customWidth="1"/>
    <col min="2" max="2" width="16" customWidth="1"/>
    <col min="3" max="8" width="15" customWidth="1"/>
    <col min="9" max="9" width="3" customWidth="1"/>
  </cols>
  <sheetData>
    <row r="1" spans="2:12" ht="7.5" customHeight="1" x14ac:dyDescent="0.25"/>
    <row r="2" spans="2:12" ht="48" customHeight="1" x14ac:dyDescent="0.25">
      <c r="B2" s="3" t="s">
        <v>133</v>
      </c>
      <c r="C2" s="3"/>
      <c r="D2" s="3"/>
      <c r="E2" s="3"/>
      <c r="F2" s="3"/>
      <c r="G2" s="3"/>
      <c r="H2" s="3"/>
    </row>
    <row r="3" spans="2:12" ht="7.5" customHeight="1" x14ac:dyDescent="0.25"/>
    <row r="4" spans="2:12" ht="27.75" customHeight="1" x14ac:dyDescent="0.25">
      <c r="B4" s="2" t="s">
        <v>134</v>
      </c>
      <c r="C4" s="2"/>
      <c r="D4" s="2"/>
    </row>
    <row r="5" spans="2:12" ht="21.75" customHeight="1" x14ac:dyDescent="0.25">
      <c r="B5" s="67" t="s">
        <v>135</v>
      </c>
      <c r="C5" s="68">
        <v>9115.16</v>
      </c>
    </row>
    <row r="6" spans="2:12" ht="21.75" customHeight="1" x14ac:dyDescent="0.25">
      <c r="B6" s="69" t="s">
        <v>136</v>
      </c>
      <c r="C6" s="70">
        <v>500</v>
      </c>
    </row>
    <row r="7" spans="2:12" ht="21.75" customHeight="1" x14ac:dyDescent="0.25">
      <c r="B7" s="67" t="s">
        <v>137</v>
      </c>
      <c r="C7" s="71">
        <v>0.5806</v>
      </c>
    </row>
    <row r="8" spans="2:12" ht="21.75" customHeight="1" x14ac:dyDescent="0.25">
      <c r="B8" s="69" t="s">
        <v>138</v>
      </c>
      <c r="C8" s="70">
        <v>500</v>
      </c>
    </row>
    <row r="9" spans="2:12" ht="21.75" customHeight="1" x14ac:dyDescent="0.25">
      <c r="B9" s="67" t="s">
        <v>139</v>
      </c>
      <c r="C9" s="68">
        <v>500</v>
      </c>
    </row>
    <row r="10" spans="2:12" ht="21.75" customHeight="1" x14ac:dyDescent="0.25">
      <c r="B10" s="69" t="s">
        <v>140</v>
      </c>
      <c r="C10" s="72">
        <v>0.1</v>
      </c>
    </row>
    <row r="12" spans="2:12" ht="7.5" customHeight="1" x14ac:dyDescent="0.25"/>
    <row r="13" spans="2:12" ht="27.75" customHeight="1" x14ac:dyDescent="0.25">
      <c r="B13" s="1" t="s">
        <v>141</v>
      </c>
      <c r="C13" s="1"/>
      <c r="D13" s="1"/>
      <c r="E13" s="1"/>
      <c r="F13" s="1"/>
      <c r="G13" s="1"/>
      <c r="I13" t="s">
        <v>108</v>
      </c>
      <c r="J13" t="s">
        <v>142</v>
      </c>
      <c r="K13" t="s">
        <v>143</v>
      </c>
      <c r="L13" t="s">
        <v>144</v>
      </c>
    </row>
    <row r="14" spans="2:12" ht="24" customHeight="1" x14ac:dyDescent="0.25">
      <c r="B14" s="73" t="s">
        <v>108</v>
      </c>
      <c r="C14" s="73" t="s">
        <v>145</v>
      </c>
      <c r="D14" s="73" t="s">
        <v>146</v>
      </c>
      <c r="E14" s="73" t="s">
        <v>147</v>
      </c>
      <c r="F14" s="73" t="s">
        <v>148</v>
      </c>
      <c r="G14" s="73" t="s">
        <v>149</v>
      </c>
      <c r="I14" t="s">
        <v>150</v>
      </c>
      <c r="J14">
        <v>9056.18</v>
      </c>
      <c r="K14">
        <v>500</v>
      </c>
      <c r="L14">
        <v>500</v>
      </c>
    </row>
    <row r="15" spans="2:12" ht="21" customHeight="1" x14ac:dyDescent="0.25">
      <c r="B15" s="74" t="s">
        <v>150</v>
      </c>
      <c r="C15" s="75">
        <v>9056.18</v>
      </c>
      <c r="D15" s="76">
        <v>441.02</v>
      </c>
      <c r="E15" s="77">
        <v>500</v>
      </c>
      <c r="F15" s="78">
        <v>500</v>
      </c>
      <c r="G15" s="78">
        <v>500</v>
      </c>
      <c r="I15" t="s">
        <v>151</v>
      </c>
      <c r="J15">
        <v>8994.35</v>
      </c>
      <c r="K15">
        <v>1000</v>
      </c>
      <c r="L15">
        <v>1004.17</v>
      </c>
    </row>
    <row r="16" spans="2:12" ht="21" customHeight="1" x14ac:dyDescent="0.25">
      <c r="B16" s="79" t="s">
        <v>151</v>
      </c>
      <c r="C16" s="80">
        <v>8994.35</v>
      </c>
      <c r="D16" s="81">
        <v>438.17</v>
      </c>
      <c r="E16" s="82">
        <v>500</v>
      </c>
      <c r="F16" s="83">
        <v>1000</v>
      </c>
      <c r="G16" s="83">
        <v>1004.17</v>
      </c>
      <c r="I16" t="s">
        <v>152</v>
      </c>
      <c r="J16">
        <v>8929.5300000000007</v>
      </c>
      <c r="K16">
        <v>1500</v>
      </c>
      <c r="L16">
        <v>1512.53</v>
      </c>
    </row>
    <row r="17" spans="2:12" ht="21" customHeight="1" x14ac:dyDescent="0.25">
      <c r="B17" s="74" t="s">
        <v>152</v>
      </c>
      <c r="C17" s="75">
        <v>8929.5300000000007</v>
      </c>
      <c r="D17" s="76">
        <v>435.18</v>
      </c>
      <c r="E17" s="77">
        <v>500</v>
      </c>
      <c r="F17" s="78">
        <v>1500</v>
      </c>
      <c r="G17" s="78">
        <v>1512.53</v>
      </c>
      <c r="I17" t="s">
        <v>153</v>
      </c>
      <c r="J17">
        <v>8861.57</v>
      </c>
      <c r="K17">
        <v>2000</v>
      </c>
      <c r="L17">
        <v>2025.14</v>
      </c>
    </row>
    <row r="18" spans="2:12" ht="21" customHeight="1" x14ac:dyDescent="0.25">
      <c r="B18" s="79" t="s">
        <v>153</v>
      </c>
      <c r="C18" s="80">
        <v>8861.57</v>
      </c>
      <c r="D18" s="81">
        <v>432.04</v>
      </c>
      <c r="E18" s="82">
        <v>500</v>
      </c>
      <c r="F18" s="83">
        <v>2000</v>
      </c>
      <c r="G18" s="83">
        <v>2025.14</v>
      </c>
      <c r="I18" t="s">
        <v>154</v>
      </c>
      <c r="J18">
        <v>8790.32</v>
      </c>
      <c r="K18">
        <v>2500</v>
      </c>
      <c r="L18">
        <v>2542.02</v>
      </c>
    </row>
    <row r="19" spans="2:12" ht="21" customHeight="1" x14ac:dyDescent="0.25">
      <c r="B19" s="74" t="s">
        <v>154</v>
      </c>
      <c r="C19" s="75">
        <v>8790.32</v>
      </c>
      <c r="D19" s="76">
        <v>428.75</v>
      </c>
      <c r="E19" s="77">
        <v>500</v>
      </c>
      <c r="F19" s="78">
        <v>2500</v>
      </c>
      <c r="G19" s="78">
        <v>2542.02</v>
      </c>
      <c r="I19" t="s">
        <v>155</v>
      </c>
      <c r="J19">
        <v>8715.6200000000008</v>
      </c>
      <c r="K19">
        <v>3000</v>
      </c>
      <c r="L19">
        <v>3063.2</v>
      </c>
    </row>
    <row r="20" spans="2:12" ht="21" customHeight="1" x14ac:dyDescent="0.25">
      <c r="B20" s="79" t="s">
        <v>155</v>
      </c>
      <c r="C20" s="80">
        <v>8715.6200000000008</v>
      </c>
      <c r="D20" s="81">
        <v>425.3</v>
      </c>
      <c r="E20" s="82">
        <v>500</v>
      </c>
      <c r="F20" s="83">
        <v>3000</v>
      </c>
      <c r="G20" s="83">
        <v>3063.2</v>
      </c>
      <c r="I20" t="s">
        <v>156</v>
      </c>
      <c r="J20">
        <v>8637.32</v>
      </c>
      <c r="K20">
        <v>3500</v>
      </c>
      <c r="L20">
        <v>3588.73</v>
      </c>
    </row>
    <row r="21" spans="2:12" ht="21" customHeight="1" x14ac:dyDescent="0.25">
      <c r="B21" s="74" t="s">
        <v>156</v>
      </c>
      <c r="C21" s="75">
        <v>8637.32</v>
      </c>
      <c r="D21" s="76">
        <v>421.69</v>
      </c>
      <c r="E21" s="77">
        <v>500</v>
      </c>
      <c r="F21" s="78">
        <v>3500</v>
      </c>
      <c r="G21" s="78">
        <v>3588.73</v>
      </c>
      <c r="I21" t="s">
        <v>157</v>
      </c>
      <c r="J21">
        <v>8555.2199999999993</v>
      </c>
      <c r="K21">
        <v>4000</v>
      </c>
      <c r="L21">
        <v>4118.63</v>
      </c>
    </row>
    <row r="22" spans="2:12" ht="21" customHeight="1" x14ac:dyDescent="0.25">
      <c r="B22" s="79" t="s">
        <v>157</v>
      </c>
      <c r="C22" s="80">
        <v>8555.2199999999993</v>
      </c>
      <c r="D22" s="81">
        <v>417.9</v>
      </c>
      <c r="E22" s="82">
        <v>500</v>
      </c>
      <c r="F22" s="83">
        <v>4000</v>
      </c>
      <c r="G22" s="83">
        <v>4118.63</v>
      </c>
      <c r="I22" t="s">
        <v>158</v>
      </c>
      <c r="J22">
        <v>8469.15</v>
      </c>
      <c r="K22">
        <v>4500</v>
      </c>
      <c r="L22">
        <v>4652.95</v>
      </c>
    </row>
    <row r="23" spans="2:12" ht="21" customHeight="1" x14ac:dyDescent="0.25">
      <c r="B23" s="74" t="s">
        <v>158</v>
      </c>
      <c r="C23" s="75">
        <v>8469.15</v>
      </c>
      <c r="D23" s="76">
        <v>413.93</v>
      </c>
      <c r="E23" s="77">
        <v>500</v>
      </c>
      <c r="F23" s="78">
        <v>4500</v>
      </c>
      <c r="G23" s="78">
        <v>4652.95</v>
      </c>
      <c r="I23" t="s">
        <v>159</v>
      </c>
      <c r="J23">
        <v>8378.91</v>
      </c>
      <c r="K23">
        <v>5000</v>
      </c>
      <c r="L23">
        <v>5191.7299999999996</v>
      </c>
    </row>
    <row r="24" spans="2:12" ht="21" customHeight="1" x14ac:dyDescent="0.25">
      <c r="B24" s="79" t="s">
        <v>159</v>
      </c>
      <c r="C24" s="80">
        <v>8378.91</v>
      </c>
      <c r="D24" s="81">
        <v>409.77</v>
      </c>
      <c r="E24" s="82">
        <v>500</v>
      </c>
      <c r="F24" s="83">
        <v>5000</v>
      </c>
      <c r="G24" s="83">
        <v>5191.7299999999996</v>
      </c>
      <c r="I24" t="s">
        <v>160</v>
      </c>
      <c r="J24">
        <v>8284.31</v>
      </c>
      <c r="K24">
        <v>5500</v>
      </c>
      <c r="L24">
        <v>5734.99</v>
      </c>
    </row>
    <row r="25" spans="2:12" ht="21" customHeight="1" x14ac:dyDescent="0.25">
      <c r="B25" s="74" t="s">
        <v>160</v>
      </c>
      <c r="C25" s="75">
        <v>8284.31</v>
      </c>
      <c r="D25" s="76">
        <v>405.4</v>
      </c>
      <c r="E25" s="77">
        <v>500</v>
      </c>
      <c r="F25" s="78">
        <v>5500</v>
      </c>
      <c r="G25" s="78">
        <v>5734.99</v>
      </c>
      <c r="I25" t="s">
        <v>161</v>
      </c>
      <c r="J25">
        <v>8185.13</v>
      </c>
      <c r="K25">
        <v>6000</v>
      </c>
      <c r="L25">
        <v>6282.78</v>
      </c>
    </row>
    <row r="26" spans="2:12" ht="21" customHeight="1" x14ac:dyDescent="0.25">
      <c r="B26" s="79" t="s">
        <v>161</v>
      </c>
      <c r="C26" s="80">
        <v>8185.13</v>
      </c>
      <c r="D26" s="81">
        <v>400.82</v>
      </c>
      <c r="E26" s="82">
        <v>500</v>
      </c>
      <c r="F26" s="83">
        <v>6000</v>
      </c>
      <c r="G26" s="83">
        <v>6282.78</v>
      </c>
    </row>
    <row r="28" spans="2:12" ht="21.75" customHeight="1" x14ac:dyDescent="0.25">
      <c r="B28" s="190" t="s">
        <v>162</v>
      </c>
      <c r="C28" s="190"/>
      <c r="D28" s="190"/>
      <c r="E28" s="190"/>
      <c r="F28" s="190"/>
      <c r="G28" s="190"/>
    </row>
  </sheetData>
  <mergeCells count="4">
    <mergeCell ref="B2:H2"/>
    <mergeCell ref="B4:D4"/>
    <mergeCell ref="B13:G13"/>
    <mergeCell ref="B28:G2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E3A5F"/>
  </sheetPr>
  <dimension ref="B1:H37"/>
  <sheetViews>
    <sheetView showGridLines="0" topLeftCell="A5" zoomScaleNormal="100" workbookViewId="0">
      <selection activeCell="C31" sqref="C31"/>
    </sheetView>
  </sheetViews>
  <sheetFormatPr baseColWidth="10" defaultColWidth="8.7109375" defaultRowHeight="15" x14ac:dyDescent="0.25"/>
  <cols>
    <col min="1" max="1" width="3" customWidth="1"/>
    <col min="2" max="2" width="35.7109375" customWidth="1"/>
    <col min="3" max="3" width="23.28515625" customWidth="1"/>
    <col min="4" max="6" width="20" customWidth="1"/>
    <col min="7" max="7" width="3" customWidth="1"/>
    <col min="8" max="8" width="15.7109375" customWidth="1"/>
  </cols>
  <sheetData>
    <row r="1" spans="2:8" ht="9.75" customHeight="1" x14ac:dyDescent="0.25"/>
    <row r="2" spans="2:8" ht="45" customHeight="1" x14ac:dyDescent="0.25">
      <c r="B2" s="191" t="s">
        <v>163</v>
      </c>
      <c r="C2" s="191"/>
      <c r="D2" s="191"/>
      <c r="E2" s="191"/>
      <c r="F2" s="191"/>
      <c r="H2" t="s">
        <v>164</v>
      </c>
    </row>
    <row r="3" spans="2:8" ht="15" customHeight="1" x14ac:dyDescent="0.25">
      <c r="B3" s="192" t="s">
        <v>165</v>
      </c>
      <c r="C3" s="192"/>
      <c r="D3" s="192"/>
      <c r="E3" s="192"/>
      <c r="F3" s="192"/>
      <c r="H3" t="s">
        <v>166</v>
      </c>
    </row>
    <row r="4" spans="2:8" ht="12" customHeight="1" x14ac:dyDescent="0.25">
      <c r="H4" t="s">
        <v>167</v>
      </c>
    </row>
    <row r="5" spans="2:8" ht="27.75" customHeight="1" x14ac:dyDescent="0.25">
      <c r="B5" s="193" t="s">
        <v>168</v>
      </c>
      <c r="C5" s="193"/>
      <c r="D5" s="193"/>
      <c r="E5" s="193"/>
      <c r="H5" t="s">
        <v>169</v>
      </c>
    </row>
    <row r="6" spans="2:8" ht="24" customHeight="1" x14ac:dyDescent="0.25">
      <c r="B6" s="84" t="s">
        <v>170</v>
      </c>
      <c r="C6" s="68">
        <v>15500</v>
      </c>
      <c r="H6" t="s">
        <v>171</v>
      </c>
    </row>
    <row r="7" spans="2:8" ht="24" customHeight="1" x14ac:dyDescent="0.25">
      <c r="B7" s="69" t="s">
        <v>172</v>
      </c>
      <c r="C7" s="81">
        <f>C6*2</f>
        <v>31000</v>
      </c>
      <c r="H7" t="s">
        <v>29</v>
      </c>
    </row>
    <row r="8" spans="2:8" ht="24" customHeight="1" x14ac:dyDescent="0.25">
      <c r="B8" s="67" t="s">
        <v>173</v>
      </c>
      <c r="C8" s="85">
        <v>0.1</v>
      </c>
      <c r="H8" t="s">
        <v>174</v>
      </c>
    </row>
    <row r="9" spans="2:8" ht="24" customHeight="1" x14ac:dyDescent="0.25">
      <c r="B9" s="69" t="s">
        <v>175</v>
      </c>
      <c r="C9" s="86">
        <v>0.05</v>
      </c>
      <c r="H9" t="s">
        <v>176</v>
      </c>
    </row>
    <row r="10" spans="2:8" ht="24" customHeight="1" x14ac:dyDescent="0.25">
      <c r="B10" s="67" t="s">
        <v>177</v>
      </c>
      <c r="C10" s="87">
        <v>3</v>
      </c>
      <c r="H10" t="s">
        <v>178</v>
      </c>
    </row>
    <row r="11" spans="2:8" ht="12" customHeight="1" x14ac:dyDescent="0.25">
      <c r="H11" t="s">
        <v>179</v>
      </c>
    </row>
    <row r="12" spans="2:8" ht="27.75" customHeight="1" x14ac:dyDescent="0.25">
      <c r="B12" s="194" t="s">
        <v>180</v>
      </c>
      <c r="C12" s="194"/>
      <c r="D12" s="194"/>
      <c r="E12" s="194"/>
      <c r="H12" t="s">
        <v>143</v>
      </c>
    </row>
    <row r="13" spans="2:8" ht="21.75" customHeight="1" x14ac:dyDescent="0.25">
      <c r="B13" s="40" t="s">
        <v>11</v>
      </c>
      <c r="C13" s="40" t="s">
        <v>181</v>
      </c>
      <c r="D13" s="40" t="s">
        <v>182</v>
      </c>
      <c r="E13" s="40" t="s">
        <v>183</v>
      </c>
      <c r="H13" t="s">
        <v>144</v>
      </c>
    </row>
    <row r="14" spans="2:8" ht="21.75" customHeight="1" x14ac:dyDescent="0.25">
      <c r="B14" s="67" t="s">
        <v>184</v>
      </c>
      <c r="C14" s="68">
        <v>1000</v>
      </c>
      <c r="D14" s="76">
        <f t="shared" ref="D14:D25" si="0">C14/2</f>
        <v>500</v>
      </c>
      <c r="E14" s="89" t="s">
        <v>164</v>
      </c>
      <c r="H14" t="s">
        <v>185</v>
      </c>
    </row>
    <row r="15" spans="2:8" ht="21.75" customHeight="1" x14ac:dyDescent="0.25">
      <c r="B15" s="69" t="s">
        <v>186</v>
      </c>
      <c r="C15" s="70">
        <v>249</v>
      </c>
      <c r="D15" s="81">
        <f t="shared" si="0"/>
        <v>124.5</v>
      </c>
      <c r="E15" s="90" t="s">
        <v>164</v>
      </c>
    </row>
    <row r="16" spans="2:8" ht="21.75" customHeight="1" x14ac:dyDescent="0.25">
      <c r="B16" s="67" t="s">
        <v>187</v>
      </c>
      <c r="C16" s="68">
        <v>430</v>
      </c>
      <c r="D16" s="76">
        <f t="shared" si="0"/>
        <v>215</v>
      </c>
      <c r="E16" s="89" t="s">
        <v>164</v>
      </c>
    </row>
    <row r="17" spans="2:5" ht="21.75" customHeight="1" x14ac:dyDescent="0.25">
      <c r="B17" s="69" t="s">
        <v>188</v>
      </c>
      <c r="C17" s="70">
        <v>4000</v>
      </c>
      <c r="D17" s="81">
        <f t="shared" si="0"/>
        <v>2000</v>
      </c>
      <c r="E17" s="90" t="s">
        <v>166</v>
      </c>
    </row>
    <row r="18" spans="2:5" ht="21.75" customHeight="1" x14ac:dyDescent="0.25">
      <c r="B18" s="67" t="s">
        <v>20</v>
      </c>
      <c r="C18" s="68">
        <v>2000</v>
      </c>
      <c r="D18" s="76">
        <f t="shared" si="0"/>
        <v>1000</v>
      </c>
      <c r="E18" s="89" t="s">
        <v>167</v>
      </c>
    </row>
    <row r="19" spans="2:5" ht="21.75" customHeight="1" x14ac:dyDescent="0.25">
      <c r="B19" s="69" t="s">
        <v>189</v>
      </c>
      <c r="C19" s="70">
        <v>1000</v>
      </c>
      <c r="D19" s="81">
        <f t="shared" si="0"/>
        <v>500</v>
      </c>
      <c r="E19" s="90" t="s">
        <v>169</v>
      </c>
    </row>
    <row r="20" spans="2:5" ht="21.75" customHeight="1" x14ac:dyDescent="0.25">
      <c r="B20" s="67" t="s">
        <v>190</v>
      </c>
      <c r="C20" s="68">
        <v>80</v>
      </c>
      <c r="D20" s="76">
        <f t="shared" si="0"/>
        <v>40</v>
      </c>
      <c r="E20" s="89" t="s">
        <v>164</v>
      </c>
    </row>
    <row r="21" spans="2:5" ht="21.75" customHeight="1" x14ac:dyDescent="0.25">
      <c r="B21" s="69" t="s">
        <v>191</v>
      </c>
      <c r="C21" s="70">
        <v>700</v>
      </c>
      <c r="D21" s="81">
        <f t="shared" si="0"/>
        <v>350</v>
      </c>
      <c r="E21" s="90" t="s">
        <v>29</v>
      </c>
    </row>
    <row r="22" spans="2:5" ht="21.75" customHeight="1" x14ac:dyDescent="0.25">
      <c r="B22" s="67" t="s">
        <v>44</v>
      </c>
      <c r="C22" s="68">
        <v>720</v>
      </c>
      <c r="D22" s="76">
        <f t="shared" si="0"/>
        <v>360</v>
      </c>
      <c r="E22" s="89" t="s">
        <v>176</v>
      </c>
    </row>
    <row r="23" spans="2:5" ht="21.75" customHeight="1" x14ac:dyDescent="0.25">
      <c r="B23" s="69" t="s">
        <v>192</v>
      </c>
      <c r="C23" s="70">
        <v>349</v>
      </c>
      <c r="D23" s="81">
        <f t="shared" si="0"/>
        <v>174.5</v>
      </c>
      <c r="E23" s="90" t="s">
        <v>174</v>
      </c>
    </row>
    <row r="24" spans="2:5" ht="21.75" customHeight="1" x14ac:dyDescent="0.25">
      <c r="B24" s="67" t="s">
        <v>193</v>
      </c>
      <c r="C24" s="68">
        <v>5000</v>
      </c>
      <c r="D24" s="76">
        <f t="shared" si="0"/>
        <v>2500</v>
      </c>
      <c r="E24" s="89" t="s">
        <v>171</v>
      </c>
    </row>
    <row r="25" spans="2:5" ht="21.75" customHeight="1" x14ac:dyDescent="0.25">
      <c r="B25" s="69" t="s">
        <v>194</v>
      </c>
      <c r="C25" s="70">
        <v>1800</v>
      </c>
      <c r="D25" s="81">
        <f t="shared" si="0"/>
        <v>900</v>
      </c>
      <c r="E25" s="90" t="s">
        <v>185</v>
      </c>
    </row>
    <row r="26" spans="2:5" ht="25.5" customHeight="1" x14ac:dyDescent="0.25">
      <c r="B26" s="36" t="s">
        <v>195</v>
      </c>
      <c r="C26" s="37">
        <f>SUM(C14:C25)</f>
        <v>17328</v>
      </c>
      <c r="D26" s="37">
        <f>SUM(D14:D25)</f>
        <v>8664</v>
      </c>
    </row>
    <row r="28" spans="2:5" ht="9.75" customHeight="1" x14ac:dyDescent="0.25"/>
    <row r="29" spans="2:5" ht="27.75" customHeight="1" x14ac:dyDescent="0.25">
      <c r="B29" s="195" t="s">
        <v>196</v>
      </c>
      <c r="C29" s="195"/>
      <c r="D29" s="195"/>
      <c r="E29" s="195"/>
    </row>
    <row r="30" spans="2:5" ht="24" customHeight="1" x14ac:dyDescent="0.25">
      <c r="B30" s="67" t="s">
        <v>197</v>
      </c>
      <c r="C30" s="76">
        <f>C7</f>
        <v>31000</v>
      </c>
    </row>
    <row r="31" spans="2:5" ht="24" customHeight="1" x14ac:dyDescent="0.25">
      <c r="B31" s="69" t="s">
        <v>198</v>
      </c>
      <c r="C31" s="81">
        <f>-C26</f>
        <v>-17328</v>
      </c>
    </row>
    <row r="32" spans="2:5" ht="24" customHeight="1" x14ac:dyDescent="0.25">
      <c r="B32" s="67" t="s">
        <v>199</v>
      </c>
      <c r="C32" s="76">
        <f>-C7*C8</f>
        <v>-3100</v>
      </c>
    </row>
    <row r="33" spans="2:5" ht="24" customHeight="1" x14ac:dyDescent="0.25">
      <c r="B33" s="69" t="s">
        <v>200</v>
      </c>
      <c r="C33" s="81">
        <f>-C7*C9</f>
        <v>-1550</v>
      </c>
    </row>
    <row r="34" spans="2:5" ht="24" customHeight="1" x14ac:dyDescent="0.25">
      <c r="B34" s="91" t="s">
        <v>201</v>
      </c>
      <c r="C34" s="92">
        <f>C7-C26-C7*C8-C7*C9</f>
        <v>9022</v>
      </c>
    </row>
    <row r="35" spans="2:5" ht="24" customHeight="1" x14ac:dyDescent="0.25">
      <c r="B35" s="69" t="s">
        <v>202</v>
      </c>
      <c r="C35" s="81">
        <f>C26*C10</f>
        <v>51984</v>
      </c>
    </row>
    <row r="37" spans="2:5" ht="18" customHeight="1" x14ac:dyDescent="0.25">
      <c r="B37" s="196" t="s">
        <v>203</v>
      </c>
      <c r="C37" s="196"/>
      <c r="D37" s="196"/>
      <c r="E37" s="196"/>
    </row>
  </sheetData>
  <mergeCells count="6">
    <mergeCell ref="B37:E37"/>
    <mergeCell ref="B2:F2"/>
    <mergeCell ref="B3:F3"/>
    <mergeCell ref="B5:E5"/>
    <mergeCell ref="B12:E12"/>
    <mergeCell ref="B29:E29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D7377"/>
  </sheetPr>
  <dimension ref="B1:J140"/>
  <sheetViews>
    <sheetView showGridLines="0" zoomScaleNormal="100" workbookViewId="0">
      <pane xSplit="2" ySplit="7" topLeftCell="C125" activePane="bottomRight" state="frozen"/>
      <selection pane="topRight" activeCell="C1" sqref="C1"/>
      <selection pane="bottomLeft" activeCell="A17" sqref="A17"/>
      <selection pane="bottomRight" activeCell="F140" sqref="F140"/>
    </sheetView>
  </sheetViews>
  <sheetFormatPr baseColWidth="10" defaultColWidth="8.7109375" defaultRowHeight="15" x14ac:dyDescent="0.25"/>
  <cols>
    <col min="1" max="1" width="5" customWidth="1"/>
    <col min="2" max="2" width="15" customWidth="1"/>
    <col min="3" max="3" width="9.85546875" bestFit="1" customWidth="1"/>
    <col min="4" max="4" width="28.85546875" bestFit="1" customWidth="1"/>
    <col min="5" max="6" width="10.140625" bestFit="1" customWidth="1"/>
    <col min="7" max="7" width="16.85546875" bestFit="1" customWidth="1"/>
    <col min="8" max="8" width="14.42578125" bestFit="1" customWidth="1"/>
    <col min="9" max="9" width="15.42578125" bestFit="1" customWidth="1"/>
    <col min="10" max="10" width="17.7109375" bestFit="1" customWidth="1"/>
  </cols>
  <sheetData>
    <row r="1" spans="2:10" ht="9.75" customHeight="1" x14ac:dyDescent="0.25"/>
    <row r="2" spans="2:10" ht="45" customHeight="1" x14ac:dyDescent="0.25">
      <c r="B2" s="197" t="s">
        <v>204</v>
      </c>
      <c r="C2" s="197"/>
      <c r="D2" s="197"/>
      <c r="E2" s="197"/>
      <c r="F2" s="197"/>
      <c r="G2" s="197"/>
      <c r="H2" s="197"/>
      <c r="I2" s="197"/>
    </row>
    <row r="3" spans="2:10" ht="15" customHeight="1" x14ac:dyDescent="0.25">
      <c r="B3" s="12" t="s">
        <v>205</v>
      </c>
      <c r="C3" s="12"/>
      <c r="D3" s="12"/>
      <c r="E3" s="12"/>
      <c r="F3" s="12"/>
      <c r="G3" s="12"/>
      <c r="H3" s="12"/>
      <c r="I3" s="12"/>
    </row>
    <row r="4" spans="2:10" ht="9.75" customHeight="1" x14ac:dyDescent="0.25"/>
    <row r="5" spans="2:10" ht="27.75" customHeight="1" x14ac:dyDescent="0.25">
      <c r="B5" s="198" t="s">
        <v>206</v>
      </c>
      <c r="C5" s="198"/>
      <c r="D5" s="198"/>
      <c r="E5" s="198"/>
      <c r="F5" s="198"/>
      <c r="G5" s="198"/>
      <c r="H5" s="198"/>
      <c r="I5" s="198"/>
    </row>
    <row r="6" spans="2:10" ht="9.75" customHeight="1" x14ac:dyDescent="0.25"/>
    <row r="7" spans="2:10" ht="25.5" customHeight="1" x14ac:dyDescent="0.25">
      <c r="B7" s="21" t="s">
        <v>207</v>
      </c>
      <c r="C7" s="21" t="s">
        <v>208</v>
      </c>
      <c r="D7" s="21" t="s">
        <v>209</v>
      </c>
      <c r="E7" s="21" t="s">
        <v>210</v>
      </c>
      <c r="F7" s="21" t="s">
        <v>211</v>
      </c>
      <c r="G7" s="21" t="s">
        <v>11</v>
      </c>
      <c r="H7" s="21" t="s">
        <v>212</v>
      </c>
      <c r="I7" s="21" t="s">
        <v>213</v>
      </c>
      <c r="J7" s="21" t="s">
        <v>214</v>
      </c>
    </row>
    <row r="8" spans="2:10" ht="18.75" customHeight="1" x14ac:dyDescent="0.25">
      <c r="B8" s="93">
        <v>1</v>
      </c>
      <c r="C8" s="22" t="s">
        <v>215</v>
      </c>
      <c r="D8" s="22" t="s">
        <v>216</v>
      </c>
      <c r="E8" s="94">
        <v>5</v>
      </c>
      <c r="F8" s="95"/>
      <c r="G8" s="22" t="s">
        <v>171</v>
      </c>
      <c r="H8" s="22" t="s">
        <v>217</v>
      </c>
      <c r="I8" s="22" t="s">
        <v>218</v>
      </c>
      <c r="J8" s="22"/>
    </row>
    <row r="9" spans="2:10" ht="18.75" customHeight="1" x14ac:dyDescent="0.25">
      <c r="B9" s="96">
        <v>2</v>
      </c>
      <c r="C9" s="26" t="s">
        <v>219</v>
      </c>
      <c r="D9" s="26" t="s">
        <v>220</v>
      </c>
      <c r="E9" s="97">
        <v>189</v>
      </c>
      <c r="F9" s="98"/>
      <c r="G9" s="26" t="s">
        <v>171</v>
      </c>
      <c r="H9" s="26" t="s">
        <v>221</v>
      </c>
      <c r="I9" s="26" t="s">
        <v>218</v>
      </c>
      <c r="J9" s="26"/>
    </row>
    <row r="10" spans="2:10" ht="18.75" customHeight="1" x14ac:dyDescent="0.25">
      <c r="B10" s="99">
        <v>3</v>
      </c>
      <c r="C10" s="100" t="s">
        <v>222</v>
      </c>
      <c r="D10" s="100" t="s">
        <v>223</v>
      </c>
      <c r="E10" s="101">
        <v>194</v>
      </c>
      <c r="F10" s="102"/>
      <c r="G10" s="100" t="s">
        <v>224</v>
      </c>
      <c r="H10" s="100" t="s">
        <v>26</v>
      </c>
      <c r="I10" s="100" t="s">
        <v>218</v>
      </c>
      <c r="J10" s="100"/>
    </row>
    <row r="11" spans="2:10" ht="18.75" customHeight="1" x14ac:dyDescent="0.25">
      <c r="B11" s="96">
        <v>4</v>
      </c>
      <c r="C11" s="26" t="s">
        <v>225</v>
      </c>
      <c r="D11" s="26" t="s">
        <v>226</v>
      </c>
      <c r="E11" s="97">
        <v>100</v>
      </c>
      <c r="F11" s="98"/>
      <c r="G11" s="26" t="s">
        <v>174</v>
      </c>
      <c r="H11" s="26" t="s">
        <v>41</v>
      </c>
      <c r="I11" s="26" t="s">
        <v>227</v>
      </c>
      <c r="J11" s="226" t="s">
        <v>228</v>
      </c>
    </row>
    <row r="12" spans="2:10" ht="18.75" customHeight="1" x14ac:dyDescent="0.25">
      <c r="B12" s="99">
        <v>5</v>
      </c>
      <c r="C12" s="100" t="s">
        <v>229</v>
      </c>
      <c r="D12" s="100" t="s">
        <v>223</v>
      </c>
      <c r="E12" s="101">
        <v>98</v>
      </c>
      <c r="F12" s="102"/>
      <c r="G12" s="100" t="s">
        <v>224</v>
      </c>
      <c r="H12" s="100" t="s">
        <v>26</v>
      </c>
      <c r="I12" s="100" t="s">
        <v>218</v>
      </c>
      <c r="J12" s="100"/>
    </row>
    <row r="13" spans="2:10" ht="18.75" customHeight="1" x14ac:dyDescent="0.25">
      <c r="B13" s="96">
        <v>6</v>
      </c>
      <c r="C13" s="26" t="s">
        <v>229</v>
      </c>
      <c r="D13" s="26" t="s">
        <v>230</v>
      </c>
      <c r="E13" s="97">
        <v>339</v>
      </c>
      <c r="F13" s="98"/>
      <c r="G13" s="26" t="s">
        <v>29</v>
      </c>
      <c r="H13" s="26" t="s">
        <v>231</v>
      </c>
      <c r="I13" s="26" t="s">
        <v>218</v>
      </c>
      <c r="J13" s="26"/>
    </row>
    <row r="14" spans="2:10" ht="18.75" customHeight="1" x14ac:dyDescent="0.25">
      <c r="B14" s="93">
        <v>7</v>
      </c>
      <c r="C14" s="22" t="s">
        <v>229</v>
      </c>
      <c r="D14" s="22" t="s">
        <v>216</v>
      </c>
      <c r="E14" s="94">
        <v>792.6</v>
      </c>
      <c r="F14" s="95"/>
      <c r="G14" s="22" t="s">
        <v>171</v>
      </c>
      <c r="H14" s="22" t="s">
        <v>217</v>
      </c>
      <c r="I14" s="22" t="s">
        <v>218</v>
      </c>
      <c r="J14" s="22"/>
    </row>
    <row r="15" spans="2:10" ht="18.75" customHeight="1" x14ac:dyDescent="0.25">
      <c r="B15" s="96">
        <v>8</v>
      </c>
      <c r="C15" s="26" t="s">
        <v>229</v>
      </c>
      <c r="D15" s="26" t="s">
        <v>216</v>
      </c>
      <c r="E15" s="97">
        <v>449</v>
      </c>
      <c r="F15" s="98"/>
      <c r="G15" s="26" t="s">
        <v>171</v>
      </c>
      <c r="H15" s="26" t="s">
        <v>217</v>
      </c>
      <c r="I15" s="26" t="s">
        <v>218</v>
      </c>
      <c r="J15" s="26"/>
    </row>
    <row r="16" spans="2:10" ht="18.75" customHeight="1" x14ac:dyDescent="0.25">
      <c r="B16" s="93">
        <v>9</v>
      </c>
      <c r="C16" s="22" t="s">
        <v>229</v>
      </c>
      <c r="D16" s="22" t="s">
        <v>226</v>
      </c>
      <c r="E16" s="94">
        <v>100</v>
      </c>
      <c r="F16" s="95"/>
      <c r="G16" s="22" t="s">
        <v>174</v>
      </c>
      <c r="H16" s="22" t="s">
        <v>41</v>
      </c>
      <c r="I16" s="22" t="s">
        <v>227</v>
      </c>
      <c r="J16" s="225" t="s">
        <v>228</v>
      </c>
    </row>
    <row r="17" spans="2:10" ht="18.75" customHeight="1" x14ac:dyDescent="0.25">
      <c r="B17" s="96">
        <v>10</v>
      </c>
      <c r="C17" s="26" t="s">
        <v>232</v>
      </c>
      <c r="D17" s="26" t="s">
        <v>233</v>
      </c>
      <c r="E17" s="97">
        <v>966.13</v>
      </c>
      <c r="F17" s="98"/>
      <c r="G17" s="26" t="s">
        <v>167</v>
      </c>
      <c r="H17" s="26" t="s">
        <v>20</v>
      </c>
      <c r="I17" s="26" t="s">
        <v>218</v>
      </c>
      <c r="J17" s="26"/>
    </row>
    <row r="18" spans="2:10" ht="18.75" customHeight="1" x14ac:dyDescent="0.25">
      <c r="B18" s="93">
        <v>11</v>
      </c>
      <c r="C18" s="22" t="s">
        <v>234</v>
      </c>
      <c r="D18" s="22" t="s">
        <v>235</v>
      </c>
      <c r="E18" s="94">
        <v>479</v>
      </c>
      <c r="F18" s="95"/>
      <c r="G18" s="22" t="s">
        <v>176</v>
      </c>
      <c r="H18" s="22" t="s">
        <v>44</v>
      </c>
      <c r="I18" s="22" t="s">
        <v>227</v>
      </c>
      <c r="J18" s="22"/>
    </row>
    <row r="19" spans="2:10" ht="18.75" customHeight="1" x14ac:dyDescent="0.25">
      <c r="B19" s="96">
        <v>12</v>
      </c>
      <c r="C19" s="26" t="s">
        <v>236</v>
      </c>
      <c r="D19" s="26" t="s">
        <v>237</v>
      </c>
      <c r="E19" s="97">
        <v>783</v>
      </c>
      <c r="F19" s="98"/>
      <c r="G19" s="26" t="s">
        <v>171</v>
      </c>
      <c r="H19" s="26" t="s">
        <v>217</v>
      </c>
      <c r="I19" s="26" t="s">
        <v>227</v>
      </c>
      <c r="J19" s="26"/>
    </row>
    <row r="20" spans="2:10" ht="18.75" customHeight="1" x14ac:dyDescent="0.25">
      <c r="B20" s="99">
        <v>13</v>
      </c>
      <c r="C20" s="100" t="s">
        <v>236</v>
      </c>
      <c r="D20" s="100" t="s">
        <v>238</v>
      </c>
      <c r="E20" s="101">
        <v>623</v>
      </c>
      <c r="F20" s="102"/>
      <c r="G20" s="100" t="s">
        <v>224</v>
      </c>
      <c r="H20" s="100" t="s">
        <v>26</v>
      </c>
      <c r="I20" s="100" t="s">
        <v>227</v>
      </c>
      <c r="J20" s="100"/>
    </row>
    <row r="21" spans="2:10" ht="18.75" customHeight="1" x14ac:dyDescent="0.25">
      <c r="B21" s="103">
        <v>14</v>
      </c>
      <c r="C21" s="104" t="s">
        <v>236</v>
      </c>
      <c r="D21" s="104" t="s">
        <v>239</v>
      </c>
      <c r="E21" s="105"/>
      <c r="F21" s="106">
        <v>449</v>
      </c>
      <c r="G21" s="104" t="s">
        <v>240</v>
      </c>
      <c r="H21" s="104" t="s">
        <v>241</v>
      </c>
      <c r="I21" s="104" t="s">
        <v>227</v>
      </c>
      <c r="J21" s="104"/>
    </row>
    <row r="22" spans="2:10" ht="18.75" customHeight="1" x14ac:dyDescent="0.25">
      <c r="B22" s="93">
        <v>15</v>
      </c>
      <c r="C22" s="22" t="s">
        <v>242</v>
      </c>
      <c r="D22" s="22" t="s">
        <v>243</v>
      </c>
      <c r="E22" s="94">
        <v>271.52999999999997</v>
      </c>
      <c r="F22" s="95"/>
      <c r="G22" s="22" t="s">
        <v>244</v>
      </c>
      <c r="H22" s="22" t="s">
        <v>245</v>
      </c>
      <c r="I22" s="22" t="s">
        <v>227</v>
      </c>
      <c r="J22" s="22"/>
    </row>
    <row r="23" spans="2:10" ht="18.75" customHeight="1" x14ac:dyDescent="0.25">
      <c r="B23" s="96">
        <v>16</v>
      </c>
      <c r="C23" s="26" t="s">
        <v>246</v>
      </c>
      <c r="D23" s="26" t="s">
        <v>247</v>
      </c>
      <c r="E23" s="97">
        <v>799</v>
      </c>
      <c r="F23" s="98"/>
      <c r="G23" s="26" t="s">
        <v>171</v>
      </c>
      <c r="H23" s="26" t="s">
        <v>221</v>
      </c>
      <c r="I23" s="26" t="s">
        <v>227</v>
      </c>
      <c r="J23" s="26"/>
    </row>
    <row r="24" spans="2:10" ht="18.75" customHeight="1" x14ac:dyDescent="0.25">
      <c r="B24" s="93">
        <v>17</v>
      </c>
      <c r="C24" s="22" t="s">
        <v>246</v>
      </c>
      <c r="D24" s="22" t="s">
        <v>248</v>
      </c>
      <c r="E24" s="94">
        <v>27.48</v>
      </c>
      <c r="F24" s="95"/>
      <c r="G24" s="22" t="s">
        <v>171</v>
      </c>
      <c r="H24" s="22" t="s">
        <v>249</v>
      </c>
      <c r="I24" s="22" t="s">
        <v>227</v>
      </c>
      <c r="J24" s="22"/>
    </row>
    <row r="25" spans="2:10" ht="18.75" customHeight="1" x14ac:dyDescent="0.25">
      <c r="B25" s="96">
        <v>18</v>
      </c>
      <c r="C25" s="26" t="s">
        <v>246</v>
      </c>
      <c r="D25" s="26" t="s">
        <v>250</v>
      </c>
      <c r="E25" s="97">
        <v>179</v>
      </c>
      <c r="F25" s="98"/>
      <c r="G25" s="26" t="s">
        <v>171</v>
      </c>
      <c r="H25" s="26" t="s">
        <v>249</v>
      </c>
      <c r="I25" s="26" t="s">
        <v>227</v>
      </c>
      <c r="J25" s="26"/>
    </row>
    <row r="26" spans="2:10" ht="18.75" customHeight="1" x14ac:dyDescent="0.25">
      <c r="B26" s="93">
        <v>19</v>
      </c>
      <c r="C26" s="22" t="s">
        <v>251</v>
      </c>
      <c r="D26" s="22" t="s">
        <v>216</v>
      </c>
      <c r="E26" s="94">
        <v>588</v>
      </c>
      <c r="F26" s="95"/>
      <c r="G26" s="22" t="s">
        <v>171</v>
      </c>
      <c r="H26" s="22" t="s">
        <v>217</v>
      </c>
      <c r="I26" s="22" t="s">
        <v>252</v>
      </c>
      <c r="J26" s="22"/>
    </row>
    <row r="27" spans="2:10" ht="18.75" customHeight="1" x14ac:dyDescent="0.25">
      <c r="B27" s="107">
        <v>20</v>
      </c>
      <c r="C27" s="108" t="s">
        <v>251</v>
      </c>
      <c r="D27" s="108" t="s">
        <v>253</v>
      </c>
      <c r="E27" s="109">
        <v>143</v>
      </c>
      <c r="F27" s="110"/>
      <c r="G27" s="108" t="s">
        <v>224</v>
      </c>
      <c r="H27" s="108" t="s">
        <v>26</v>
      </c>
      <c r="I27" s="108" t="s">
        <v>252</v>
      </c>
      <c r="J27" s="108"/>
    </row>
    <row r="28" spans="2:10" ht="18.75" customHeight="1" x14ac:dyDescent="0.25">
      <c r="B28" s="111">
        <v>21</v>
      </c>
      <c r="C28" s="112" t="s">
        <v>251</v>
      </c>
      <c r="D28" s="112" t="s">
        <v>239</v>
      </c>
      <c r="E28" s="113"/>
      <c r="F28" s="114">
        <v>4600</v>
      </c>
      <c r="G28" s="112" t="s">
        <v>240</v>
      </c>
      <c r="H28" s="112" t="s">
        <v>241</v>
      </c>
      <c r="I28" s="112" t="s">
        <v>252</v>
      </c>
      <c r="J28" s="112"/>
    </row>
    <row r="29" spans="2:10" ht="18.75" customHeight="1" x14ac:dyDescent="0.25">
      <c r="B29" s="103">
        <v>22</v>
      </c>
      <c r="C29" s="104" t="s">
        <v>251</v>
      </c>
      <c r="D29" s="104" t="s">
        <v>248</v>
      </c>
      <c r="E29" s="105"/>
      <c r="F29" s="106">
        <v>27.48</v>
      </c>
      <c r="G29" s="104" t="s">
        <v>240</v>
      </c>
      <c r="H29" s="104" t="s">
        <v>254</v>
      </c>
      <c r="I29" s="104" t="s">
        <v>252</v>
      </c>
      <c r="J29" s="104" t="s">
        <v>255</v>
      </c>
    </row>
    <row r="30" spans="2:10" ht="18.75" customHeight="1" x14ac:dyDescent="0.25">
      <c r="B30" s="99">
        <v>23</v>
      </c>
      <c r="C30" s="100" t="s">
        <v>256</v>
      </c>
      <c r="D30" s="100" t="s">
        <v>223</v>
      </c>
      <c r="E30" s="101">
        <v>98</v>
      </c>
      <c r="F30" s="102"/>
      <c r="G30" s="100" t="s">
        <v>224</v>
      </c>
      <c r="H30" s="100" t="s">
        <v>26</v>
      </c>
      <c r="I30" s="100" t="s">
        <v>252</v>
      </c>
      <c r="J30" s="100"/>
    </row>
    <row r="31" spans="2:10" ht="18.75" customHeight="1" x14ac:dyDescent="0.25">
      <c r="B31" s="107">
        <v>24</v>
      </c>
      <c r="C31" s="108" t="s">
        <v>257</v>
      </c>
      <c r="D31" s="108" t="s">
        <v>223</v>
      </c>
      <c r="E31" s="109">
        <v>332.5</v>
      </c>
      <c r="F31" s="110"/>
      <c r="G31" s="108" t="s">
        <v>224</v>
      </c>
      <c r="H31" s="108" t="s">
        <v>26</v>
      </c>
      <c r="I31" s="108" t="s">
        <v>252</v>
      </c>
      <c r="J31" s="108"/>
    </row>
    <row r="32" spans="2:10" ht="18.75" customHeight="1" x14ac:dyDescent="0.25">
      <c r="B32" s="93">
        <v>25</v>
      </c>
      <c r="C32" s="22" t="s">
        <v>258</v>
      </c>
      <c r="D32" s="22" t="s">
        <v>216</v>
      </c>
      <c r="E32" s="94">
        <v>129</v>
      </c>
      <c r="F32" s="95"/>
      <c r="G32" s="22" t="s">
        <v>171</v>
      </c>
      <c r="H32" s="22" t="s">
        <v>217</v>
      </c>
      <c r="I32" s="22" t="s">
        <v>252</v>
      </c>
      <c r="J32" s="22"/>
    </row>
    <row r="33" spans="2:10" ht="18.75" customHeight="1" x14ac:dyDescent="0.25">
      <c r="B33" s="96">
        <v>26</v>
      </c>
      <c r="C33" s="26" t="s">
        <v>258</v>
      </c>
      <c r="D33" s="26" t="s">
        <v>226</v>
      </c>
      <c r="E33" s="97">
        <v>100</v>
      </c>
      <c r="F33" s="98"/>
      <c r="G33" s="26" t="s">
        <v>174</v>
      </c>
      <c r="H33" s="26" t="s">
        <v>41</v>
      </c>
      <c r="I33" s="26" t="s">
        <v>252</v>
      </c>
      <c r="J33" s="26" t="s">
        <v>228</v>
      </c>
    </row>
    <row r="34" spans="2:10" ht="18.75" customHeight="1" x14ac:dyDescent="0.25">
      <c r="B34" s="99">
        <v>27</v>
      </c>
      <c r="C34" s="100" t="s">
        <v>259</v>
      </c>
      <c r="D34" s="100" t="s">
        <v>223</v>
      </c>
      <c r="E34" s="101">
        <v>217.5</v>
      </c>
      <c r="F34" s="102"/>
      <c r="G34" s="100" t="s">
        <v>224</v>
      </c>
      <c r="H34" s="100" t="s">
        <v>26</v>
      </c>
      <c r="I34" s="100" t="s">
        <v>252</v>
      </c>
      <c r="J34" s="100"/>
    </row>
    <row r="35" spans="2:10" ht="18.75" customHeight="1" x14ac:dyDescent="0.25">
      <c r="B35" s="96">
        <v>28</v>
      </c>
      <c r="C35" s="26" t="s">
        <v>260</v>
      </c>
      <c r="D35" s="26" t="s">
        <v>261</v>
      </c>
      <c r="E35" s="97">
        <v>900</v>
      </c>
      <c r="F35" s="98"/>
      <c r="G35" s="26" t="s">
        <v>29</v>
      </c>
      <c r="H35" s="26" t="s">
        <v>262</v>
      </c>
      <c r="I35" s="26" t="s">
        <v>252</v>
      </c>
      <c r="J35" s="26"/>
    </row>
    <row r="36" spans="2:10" ht="18.75" customHeight="1" x14ac:dyDescent="0.25">
      <c r="B36" s="93">
        <v>29</v>
      </c>
      <c r="C36" s="22" t="s">
        <v>260</v>
      </c>
      <c r="D36" s="22" t="s">
        <v>263</v>
      </c>
      <c r="E36" s="94">
        <v>411</v>
      </c>
      <c r="F36" s="95"/>
      <c r="G36" s="22" t="s">
        <v>171</v>
      </c>
      <c r="H36" s="22" t="s">
        <v>221</v>
      </c>
      <c r="I36" s="22" t="s">
        <v>252</v>
      </c>
      <c r="J36" s="22"/>
    </row>
    <row r="37" spans="2:10" ht="18.75" customHeight="1" x14ac:dyDescent="0.25">
      <c r="B37" s="96">
        <v>30</v>
      </c>
      <c r="C37" s="26" t="s">
        <v>260</v>
      </c>
      <c r="D37" s="26" t="s">
        <v>264</v>
      </c>
      <c r="E37" s="97">
        <v>200</v>
      </c>
      <c r="F37" s="98"/>
      <c r="G37" s="26" t="s">
        <v>167</v>
      </c>
      <c r="H37" s="26" t="s">
        <v>20</v>
      </c>
      <c r="I37" s="26" t="s">
        <v>252</v>
      </c>
      <c r="J37" s="26"/>
    </row>
    <row r="38" spans="2:10" ht="18.75" customHeight="1" x14ac:dyDescent="0.25">
      <c r="B38" s="111">
        <v>31</v>
      </c>
      <c r="C38" s="112" t="s">
        <v>260</v>
      </c>
      <c r="D38" s="112" t="s">
        <v>216</v>
      </c>
      <c r="E38" s="113"/>
      <c r="F38" s="114">
        <v>129</v>
      </c>
      <c r="G38" s="112" t="s">
        <v>240</v>
      </c>
      <c r="H38" s="112" t="s">
        <v>254</v>
      </c>
      <c r="I38" s="112" t="s">
        <v>252</v>
      </c>
      <c r="J38" s="112" t="s">
        <v>265</v>
      </c>
    </row>
    <row r="39" spans="2:10" ht="18.75" customHeight="1" x14ac:dyDescent="0.25">
      <c r="B39" s="96">
        <v>32</v>
      </c>
      <c r="C39" s="26" t="s">
        <v>260</v>
      </c>
      <c r="D39" s="26" t="s">
        <v>266</v>
      </c>
      <c r="E39" s="97">
        <v>776.51</v>
      </c>
      <c r="F39" s="98"/>
      <c r="G39" s="26" t="s">
        <v>167</v>
      </c>
      <c r="H39" s="26" t="s">
        <v>20</v>
      </c>
      <c r="I39" s="26" t="s">
        <v>252</v>
      </c>
      <c r="J39" s="26"/>
    </row>
    <row r="40" spans="2:10" ht="18.75" customHeight="1" x14ac:dyDescent="0.25">
      <c r="B40" s="93">
        <v>33</v>
      </c>
      <c r="C40" s="22" t="s">
        <v>260</v>
      </c>
      <c r="D40" s="22" t="s">
        <v>216</v>
      </c>
      <c r="E40" s="94">
        <v>633.20000000000005</v>
      </c>
      <c r="F40" s="95"/>
      <c r="G40" s="22" t="s">
        <v>171</v>
      </c>
      <c r="H40" s="22" t="s">
        <v>217</v>
      </c>
      <c r="I40" s="22" t="s">
        <v>252</v>
      </c>
      <c r="J40" s="22"/>
    </row>
    <row r="41" spans="2:10" ht="18.75" customHeight="1" x14ac:dyDescent="0.25">
      <c r="B41" s="96">
        <v>34</v>
      </c>
      <c r="C41" s="26" t="s">
        <v>260</v>
      </c>
      <c r="D41" s="26" t="s">
        <v>243</v>
      </c>
      <c r="E41" s="97">
        <v>144.97</v>
      </c>
      <c r="F41" s="98"/>
      <c r="G41" s="26" t="s">
        <v>244</v>
      </c>
      <c r="H41" s="26" t="s">
        <v>245</v>
      </c>
      <c r="I41" s="26" t="s">
        <v>252</v>
      </c>
      <c r="J41" s="26"/>
    </row>
    <row r="42" spans="2:10" ht="18.75" customHeight="1" x14ac:dyDescent="0.25">
      <c r="B42" s="93">
        <v>35</v>
      </c>
      <c r="C42" s="22" t="s">
        <v>260</v>
      </c>
      <c r="D42" s="22" t="s">
        <v>226</v>
      </c>
      <c r="E42" s="94">
        <v>100</v>
      </c>
      <c r="F42" s="95"/>
      <c r="G42" s="22" t="s">
        <v>174</v>
      </c>
      <c r="H42" s="22" t="s">
        <v>41</v>
      </c>
      <c r="I42" s="22" t="s">
        <v>252</v>
      </c>
      <c r="J42" s="22" t="s">
        <v>228</v>
      </c>
    </row>
    <row r="43" spans="2:10" ht="18.75" customHeight="1" x14ac:dyDescent="0.25">
      <c r="B43" s="115">
        <v>36</v>
      </c>
      <c r="C43" s="116" t="s">
        <v>267</v>
      </c>
      <c r="D43" s="116" t="s">
        <v>268</v>
      </c>
      <c r="E43" s="117">
        <v>161</v>
      </c>
      <c r="F43" s="118"/>
      <c r="G43" s="116" t="s">
        <v>144</v>
      </c>
      <c r="H43" s="116" t="s">
        <v>269</v>
      </c>
      <c r="I43" s="116" t="s">
        <v>252</v>
      </c>
      <c r="J43" s="116" t="s">
        <v>270</v>
      </c>
    </row>
    <row r="44" spans="2:10" ht="18.75" customHeight="1" x14ac:dyDescent="0.25">
      <c r="B44" s="93">
        <v>37</v>
      </c>
      <c r="C44" s="22" t="s">
        <v>267</v>
      </c>
      <c r="D44" s="22" t="s">
        <v>271</v>
      </c>
      <c r="E44" s="94">
        <v>700</v>
      </c>
      <c r="F44" s="95"/>
      <c r="G44" s="22" t="s">
        <v>167</v>
      </c>
      <c r="H44" s="22" t="s">
        <v>20</v>
      </c>
      <c r="I44" s="22" t="s">
        <v>252</v>
      </c>
      <c r="J44" s="22"/>
    </row>
    <row r="45" spans="2:10" ht="18.75" customHeight="1" x14ac:dyDescent="0.25">
      <c r="B45" s="96">
        <v>38</v>
      </c>
      <c r="C45" s="26" t="s">
        <v>267</v>
      </c>
      <c r="D45" s="26" t="s">
        <v>226</v>
      </c>
      <c r="E45" s="97">
        <v>100</v>
      </c>
      <c r="F45" s="98"/>
      <c r="G45" s="26" t="s">
        <v>174</v>
      </c>
      <c r="H45" s="26" t="s">
        <v>41</v>
      </c>
      <c r="I45" s="26" t="s">
        <v>252</v>
      </c>
      <c r="J45" s="26" t="s">
        <v>228</v>
      </c>
    </row>
    <row r="46" spans="2:10" ht="18.75" customHeight="1" x14ac:dyDescent="0.25">
      <c r="B46" s="93">
        <v>39</v>
      </c>
      <c r="C46" s="22" t="s">
        <v>267</v>
      </c>
      <c r="D46" s="22" t="s">
        <v>272</v>
      </c>
      <c r="E46" s="94">
        <v>347</v>
      </c>
      <c r="F46" s="95"/>
      <c r="G46" s="22" t="s">
        <v>244</v>
      </c>
      <c r="H46" s="22" t="s">
        <v>273</v>
      </c>
      <c r="I46" s="22" t="s">
        <v>252</v>
      </c>
      <c r="J46" s="22"/>
    </row>
    <row r="47" spans="2:10" ht="18.75" customHeight="1" x14ac:dyDescent="0.25">
      <c r="B47" s="96">
        <v>40</v>
      </c>
      <c r="C47" s="26" t="s">
        <v>274</v>
      </c>
      <c r="D47" s="26" t="s">
        <v>275</v>
      </c>
      <c r="E47" s="97">
        <v>329</v>
      </c>
      <c r="F47" s="98"/>
      <c r="G47" s="26" t="s">
        <v>174</v>
      </c>
      <c r="H47" s="26" t="s">
        <v>276</v>
      </c>
      <c r="I47" s="26" t="s">
        <v>252</v>
      </c>
      <c r="J47" s="26"/>
    </row>
    <row r="48" spans="2:10" ht="18.75" customHeight="1" x14ac:dyDescent="0.25">
      <c r="B48" s="99">
        <v>41</v>
      </c>
      <c r="C48" s="100" t="s">
        <v>274</v>
      </c>
      <c r="D48" s="100" t="s">
        <v>277</v>
      </c>
      <c r="E48" s="101">
        <v>855.35</v>
      </c>
      <c r="F48" s="102"/>
      <c r="G48" s="100" t="s">
        <v>178</v>
      </c>
      <c r="H48" s="100" t="s">
        <v>278</v>
      </c>
      <c r="I48" s="100" t="s">
        <v>252</v>
      </c>
      <c r="J48" s="100"/>
    </row>
    <row r="49" spans="2:10" ht="18.75" customHeight="1" x14ac:dyDescent="0.25">
      <c r="B49" s="96">
        <v>42</v>
      </c>
      <c r="C49" s="26" t="s">
        <v>279</v>
      </c>
      <c r="D49" s="26" t="s">
        <v>280</v>
      </c>
      <c r="E49" s="97">
        <v>340</v>
      </c>
      <c r="F49" s="98"/>
      <c r="G49" s="26" t="s">
        <v>29</v>
      </c>
      <c r="H49" s="26" t="s">
        <v>281</v>
      </c>
      <c r="I49" s="26" t="s">
        <v>252</v>
      </c>
      <c r="J49" s="26"/>
    </row>
    <row r="50" spans="2:10" ht="18.75" customHeight="1" x14ac:dyDescent="0.25">
      <c r="B50" s="111">
        <v>43</v>
      </c>
      <c r="C50" s="112" t="s">
        <v>279</v>
      </c>
      <c r="D50" s="112" t="s">
        <v>239</v>
      </c>
      <c r="E50" s="113"/>
      <c r="F50" s="114">
        <v>555</v>
      </c>
      <c r="G50" s="112" t="s">
        <v>240</v>
      </c>
      <c r="H50" s="112" t="s">
        <v>241</v>
      </c>
      <c r="I50" s="112" t="s">
        <v>252</v>
      </c>
      <c r="J50" s="112"/>
    </row>
    <row r="51" spans="2:10" ht="18.75" customHeight="1" x14ac:dyDescent="0.25">
      <c r="B51" s="103">
        <v>44</v>
      </c>
      <c r="C51" s="104" t="s">
        <v>279</v>
      </c>
      <c r="D51" s="104" t="s">
        <v>239</v>
      </c>
      <c r="E51" s="105"/>
      <c r="F51" s="106">
        <v>415</v>
      </c>
      <c r="G51" s="104" t="s">
        <v>240</v>
      </c>
      <c r="H51" s="104" t="s">
        <v>241</v>
      </c>
      <c r="I51" s="104" t="s">
        <v>252</v>
      </c>
      <c r="J51" s="104"/>
    </row>
    <row r="52" spans="2:10" ht="18.75" customHeight="1" x14ac:dyDescent="0.25">
      <c r="B52" s="99">
        <v>45</v>
      </c>
      <c r="C52" s="100" t="s">
        <v>282</v>
      </c>
      <c r="D52" s="100" t="s">
        <v>223</v>
      </c>
      <c r="E52" s="101">
        <v>98</v>
      </c>
      <c r="F52" s="102"/>
      <c r="G52" s="100" t="s">
        <v>224</v>
      </c>
      <c r="H52" s="100" t="s">
        <v>26</v>
      </c>
      <c r="I52" s="100" t="s">
        <v>252</v>
      </c>
      <c r="J52" s="100"/>
    </row>
    <row r="53" spans="2:10" ht="18.75" customHeight="1" x14ac:dyDescent="0.25">
      <c r="B53" s="96">
        <v>46</v>
      </c>
      <c r="C53" s="26" t="s">
        <v>283</v>
      </c>
      <c r="D53" s="26" t="s">
        <v>284</v>
      </c>
      <c r="E53" s="97">
        <v>917.4</v>
      </c>
      <c r="F53" s="98"/>
      <c r="G53" s="26" t="s">
        <v>167</v>
      </c>
      <c r="H53" s="26" t="s">
        <v>20</v>
      </c>
      <c r="I53" s="26" t="s">
        <v>252</v>
      </c>
      <c r="J53" s="26"/>
    </row>
    <row r="54" spans="2:10" ht="18.75" customHeight="1" x14ac:dyDescent="0.25">
      <c r="B54" s="93">
        <v>47</v>
      </c>
      <c r="C54" s="22" t="s">
        <v>283</v>
      </c>
      <c r="D54" s="22" t="s">
        <v>285</v>
      </c>
      <c r="E54" s="94">
        <v>212.75</v>
      </c>
      <c r="F54" s="95"/>
      <c r="G54" s="22" t="s">
        <v>171</v>
      </c>
      <c r="H54" s="22" t="s">
        <v>221</v>
      </c>
      <c r="I54" s="22" t="s">
        <v>252</v>
      </c>
      <c r="J54" s="22"/>
    </row>
    <row r="55" spans="2:10" ht="18.75" customHeight="1" x14ac:dyDescent="0.25">
      <c r="B55" s="96">
        <v>48</v>
      </c>
      <c r="C55" s="26" t="s">
        <v>286</v>
      </c>
      <c r="D55" s="26" t="s">
        <v>226</v>
      </c>
      <c r="E55" s="97">
        <v>50</v>
      </c>
      <c r="F55" s="98"/>
      <c r="G55" s="26" t="s">
        <v>174</v>
      </c>
      <c r="H55" s="26" t="s">
        <v>41</v>
      </c>
      <c r="I55" s="26" t="s">
        <v>252</v>
      </c>
      <c r="J55" s="26" t="s">
        <v>228</v>
      </c>
    </row>
    <row r="56" spans="2:10" ht="18.75" customHeight="1" x14ac:dyDescent="0.25">
      <c r="B56" s="93">
        <v>49</v>
      </c>
      <c r="C56" s="22" t="s">
        <v>286</v>
      </c>
      <c r="D56" s="22" t="s">
        <v>226</v>
      </c>
      <c r="E56" s="94">
        <v>50</v>
      </c>
      <c r="F56" s="95"/>
      <c r="G56" s="22" t="s">
        <v>174</v>
      </c>
      <c r="H56" s="22" t="s">
        <v>41</v>
      </c>
      <c r="I56" s="22" t="s">
        <v>252</v>
      </c>
      <c r="J56" s="22" t="s">
        <v>228</v>
      </c>
    </row>
    <row r="57" spans="2:10" ht="18.75" customHeight="1" x14ac:dyDescent="0.25">
      <c r="B57" s="103">
        <v>50</v>
      </c>
      <c r="C57" s="104" t="s">
        <v>287</v>
      </c>
      <c r="D57" s="104" t="s">
        <v>239</v>
      </c>
      <c r="E57" s="105"/>
      <c r="F57" s="106">
        <v>5000</v>
      </c>
      <c r="G57" s="104" t="s">
        <v>240</v>
      </c>
      <c r="H57" s="104" t="s">
        <v>241</v>
      </c>
      <c r="I57" s="104" t="s">
        <v>288</v>
      </c>
      <c r="J57" s="104" t="s">
        <v>289</v>
      </c>
    </row>
    <row r="58" spans="2:10" ht="18.75" customHeight="1" x14ac:dyDescent="0.25">
      <c r="B58" s="93">
        <v>51</v>
      </c>
      <c r="C58" s="22" t="s">
        <v>290</v>
      </c>
      <c r="D58" s="22" t="s">
        <v>291</v>
      </c>
      <c r="E58" s="94">
        <v>196</v>
      </c>
      <c r="F58" s="95"/>
      <c r="G58" s="22" t="s">
        <v>171</v>
      </c>
      <c r="H58" s="22" t="s">
        <v>221</v>
      </c>
      <c r="I58" s="22" t="s">
        <v>288</v>
      </c>
      <c r="J58" s="22"/>
    </row>
    <row r="59" spans="2:10" ht="18.75" customHeight="1" x14ac:dyDescent="0.25">
      <c r="B59" s="107">
        <v>52</v>
      </c>
      <c r="C59" s="108" t="s">
        <v>290</v>
      </c>
      <c r="D59" s="108" t="s">
        <v>223</v>
      </c>
      <c r="E59" s="109">
        <v>98</v>
      </c>
      <c r="F59" s="110"/>
      <c r="G59" s="108" t="s">
        <v>224</v>
      </c>
      <c r="H59" s="108" t="s">
        <v>26</v>
      </c>
      <c r="I59" s="108" t="s">
        <v>288</v>
      </c>
      <c r="J59" s="108"/>
    </row>
    <row r="60" spans="2:10" ht="18.75" customHeight="1" x14ac:dyDescent="0.25">
      <c r="B60" s="93">
        <v>53</v>
      </c>
      <c r="C60" s="22" t="s">
        <v>292</v>
      </c>
      <c r="D60" s="22" t="s">
        <v>293</v>
      </c>
      <c r="E60" s="94">
        <v>300</v>
      </c>
      <c r="F60" s="95"/>
      <c r="G60" s="22" t="s">
        <v>171</v>
      </c>
      <c r="H60" s="22" t="s">
        <v>221</v>
      </c>
      <c r="I60" s="22" t="s">
        <v>288</v>
      </c>
      <c r="J60" s="22"/>
    </row>
    <row r="61" spans="2:10" ht="18.75" customHeight="1" x14ac:dyDescent="0.25">
      <c r="B61" s="96">
        <v>54</v>
      </c>
      <c r="C61" s="26" t="s">
        <v>294</v>
      </c>
      <c r="D61" s="26" t="s">
        <v>295</v>
      </c>
      <c r="E61" s="97">
        <v>1200.47</v>
      </c>
      <c r="F61" s="98"/>
      <c r="G61" s="26" t="s">
        <v>179</v>
      </c>
      <c r="H61" s="26" t="s">
        <v>296</v>
      </c>
      <c r="I61" s="26" t="s">
        <v>288</v>
      </c>
      <c r="J61" s="26" t="s">
        <v>297</v>
      </c>
    </row>
    <row r="62" spans="2:10" ht="18.75" customHeight="1" x14ac:dyDescent="0.25">
      <c r="B62" s="93">
        <v>55</v>
      </c>
      <c r="C62" s="22" t="s">
        <v>294</v>
      </c>
      <c r="D62" s="22" t="s">
        <v>266</v>
      </c>
      <c r="E62" s="94">
        <v>681.35</v>
      </c>
      <c r="F62" s="95"/>
      <c r="G62" s="22" t="s">
        <v>167</v>
      </c>
      <c r="H62" s="22" t="s">
        <v>20</v>
      </c>
      <c r="I62" s="22" t="s">
        <v>288</v>
      </c>
      <c r="J62" s="22"/>
    </row>
    <row r="63" spans="2:10" ht="18.75" customHeight="1" x14ac:dyDescent="0.25">
      <c r="B63" s="96">
        <v>56</v>
      </c>
      <c r="C63" s="26" t="s">
        <v>294</v>
      </c>
      <c r="D63" s="26" t="s">
        <v>216</v>
      </c>
      <c r="E63" s="97">
        <v>2718.9</v>
      </c>
      <c r="F63" s="98"/>
      <c r="G63" s="26" t="s">
        <v>171</v>
      </c>
      <c r="H63" s="26" t="s">
        <v>217</v>
      </c>
      <c r="I63" s="26" t="s">
        <v>288</v>
      </c>
      <c r="J63" s="26"/>
    </row>
    <row r="64" spans="2:10" ht="18.75" customHeight="1" x14ac:dyDescent="0.25">
      <c r="B64" s="93">
        <v>57</v>
      </c>
      <c r="C64" s="22" t="s">
        <v>294</v>
      </c>
      <c r="D64" s="22" t="s">
        <v>298</v>
      </c>
      <c r="E64" s="94">
        <v>129</v>
      </c>
      <c r="F64" s="95"/>
      <c r="G64" s="22" t="s">
        <v>244</v>
      </c>
      <c r="H64" s="22" t="s">
        <v>273</v>
      </c>
      <c r="I64" s="22" t="s">
        <v>288</v>
      </c>
      <c r="J64" s="22"/>
    </row>
    <row r="65" spans="2:10" ht="18.75" customHeight="1" x14ac:dyDescent="0.25">
      <c r="B65" s="96">
        <v>58</v>
      </c>
      <c r="C65" s="26" t="s">
        <v>294</v>
      </c>
      <c r="D65" s="26" t="s">
        <v>299</v>
      </c>
      <c r="E65" s="97">
        <v>216</v>
      </c>
      <c r="F65" s="98"/>
      <c r="G65" s="26" t="s">
        <v>171</v>
      </c>
      <c r="H65" s="26" t="s">
        <v>249</v>
      </c>
      <c r="I65" s="26" t="s">
        <v>288</v>
      </c>
      <c r="J65" s="26"/>
    </row>
    <row r="66" spans="2:10" ht="18.75" customHeight="1" x14ac:dyDescent="0.25">
      <c r="B66" s="93">
        <v>59</v>
      </c>
      <c r="C66" s="22" t="s">
        <v>294</v>
      </c>
      <c r="D66" s="22" t="s">
        <v>226</v>
      </c>
      <c r="E66" s="94">
        <v>250</v>
      </c>
      <c r="F66" s="95"/>
      <c r="G66" s="22" t="s">
        <v>174</v>
      </c>
      <c r="H66" s="22" t="s">
        <v>41</v>
      </c>
      <c r="I66" s="22" t="s">
        <v>288</v>
      </c>
      <c r="J66" s="22" t="s">
        <v>228</v>
      </c>
    </row>
    <row r="67" spans="2:10" ht="18.75" customHeight="1" x14ac:dyDescent="0.25">
      <c r="B67" s="96">
        <v>60</v>
      </c>
      <c r="C67" s="26" t="s">
        <v>300</v>
      </c>
      <c r="D67" s="26" t="s">
        <v>291</v>
      </c>
      <c r="E67" s="97">
        <v>133</v>
      </c>
      <c r="F67" s="98"/>
      <c r="G67" s="26" t="s">
        <v>171</v>
      </c>
      <c r="H67" s="26" t="s">
        <v>221</v>
      </c>
      <c r="I67" s="26" t="s">
        <v>288</v>
      </c>
      <c r="J67" s="26"/>
    </row>
    <row r="68" spans="2:10" ht="18.75" customHeight="1" x14ac:dyDescent="0.25">
      <c r="B68" s="93">
        <v>61</v>
      </c>
      <c r="C68" s="22" t="s">
        <v>300</v>
      </c>
      <c r="D68" s="22" t="s">
        <v>301</v>
      </c>
      <c r="E68" s="94">
        <v>539</v>
      </c>
      <c r="F68" s="95"/>
      <c r="G68" s="22" t="s">
        <v>171</v>
      </c>
      <c r="H68" s="22" t="s">
        <v>217</v>
      </c>
      <c r="I68" s="22" t="s">
        <v>288</v>
      </c>
      <c r="J68" s="22"/>
    </row>
    <row r="69" spans="2:10" ht="18.75" customHeight="1" x14ac:dyDescent="0.25">
      <c r="B69" s="103">
        <v>62</v>
      </c>
      <c r="C69" s="104" t="s">
        <v>300</v>
      </c>
      <c r="D69" s="104" t="s">
        <v>239</v>
      </c>
      <c r="E69" s="105"/>
      <c r="F69" s="106">
        <v>1500</v>
      </c>
      <c r="G69" s="104" t="s">
        <v>240</v>
      </c>
      <c r="H69" s="104" t="s">
        <v>241</v>
      </c>
      <c r="I69" s="104" t="s">
        <v>288</v>
      </c>
      <c r="J69" s="104"/>
    </row>
    <row r="70" spans="2:10" ht="18.75" customHeight="1" x14ac:dyDescent="0.25">
      <c r="B70" s="99">
        <v>63</v>
      </c>
      <c r="C70" s="100" t="s">
        <v>302</v>
      </c>
      <c r="D70" s="100" t="s">
        <v>223</v>
      </c>
      <c r="E70" s="101">
        <v>156</v>
      </c>
      <c r="F70" s="102"/>
      <c r="G70" s="100" t="s">
        <v>224</v>
      </c>
      <c r="H70" s="100" t="s">
        <v>26</v>
      </c>
      <c r="I70" s="100" t="s">
        <v>288</v>
      </c>
      <c r="J70" s="100"/>
    </row>
    <row r="71" spans="2:10" ht="18.75" customHeight="1" x14ac:dyDescent="0.25">
      <c r="B71" s="96">
        <v>64</v>
      </c>
      <c r="C71" s="26" t="s">
        <v>303</v>
      </c>
      <c r="D71" s="26" t="s">
        <v>304</v>
      </c>
      <c r="E71" s="97">
        <v>1200.47</v>
      </c>
      <c r="F71" s="98"/>
      <c r="G71" s="26" t="s">
        <v>179</v>
      </c>
      <c r="H71" s="26" t="s">
        <v>296</v>
      </c>
      <c r="I71" s="26" t="s">
        <v>288</v>
      </c>
      <c r="J71" s="26" t="s">
        <v>305</v>
      </c>
    </row>
    <row r="72" spans="2:10" ht="18.75" customHeight="1" x14ac:dyDescent="0.25">
      <c r="B72" s="93">
        <v>65</v>
      </c>
      <c r="C72" s="22" t="s">
        <v>303</v>
      </c>
      <c r="D72" s="22" t="s">
        <v>299</v>
      </c>
      <c r="E72" s="94">
        <v>334</v>
      </c>
      <c r="F72" s="95"/>
      <c r="G72" s="22" t="s">
        <v>171</v>
      </c>
      <c r="H72" s="22" t="s">
        <v>249</v>
      </c>
      <c r="I72" s="22" t="s">
        <v>288</v>
      </c>
      <c r="J72" s="22"/>
    </row>
    <row r="73" spans="2:10" ht="18.75" customHeight="1" x14ac:dyDescent="0.25">
      <c r="B73" s="96">
        <v>66</v>
      </c>
      <c r="C73" s="26" t="s">
        <v>303</v>
      </c>
      <c r="D73" s="26" t="s">
        <v>226</v>
      </c>
      <c r="E73" s="97">
        <v>250</v>
      </c>
      <c r="F73" s="98"/>
      <c r="G73" s="26" t="s">
        <v>174</v>
      </c>
      <c r="H73" s="26" t="s">
        <v>41</v>
      </c>
      <c r="I73" s="26" t="s">
        <v>288</v>
      </c>
      <c r="J73" s="26" t="s">
        <v>228</v>
      </c>
    </row>
    <row r="74" spans="2:10" ht="18.75" customHeight="1" x14ac:dyDescent="0.25">
      <c r="B74" s="111">
        <v>67</v>
      </c>
      <c r="C74" s="112" t="s">
        <v>303</v>
      </c>
      <c r="D74" s="112" t="s">
        <v>306</v>
      </c>
      <c r="E74" s="113"/>
      <c r="F74" s="114">
        <v>19.8</v>
      </c>
      <c r="G74" s="112" t="s">
        <v>240</v>
      </c>
      <c r="H74" s="112" t="s">
        <v>254</v>
      </c>
      <c r="I74" s="112" t="s">
        <v>288</v>
      </c>
      <c r="J74" s="112"/>
    </row>
    <row r="75" spans="2:10" ht="18.75" customHeight="1" x14ac:dyDescent="0.25">
      <c r="B75" s="96">
        <v>68</v>
      </c>
      <c r="C75" s="26" t="s">
        <v>307</v>
      </c>
      <c r="D75" s="26" t="s">
        <v>308</v>
      </c>
      <c r="E75" s="97">
        <v>460</v>
      </c>
      <c r="F75" s="98"/>
      <c r="G75" s="26" t="s">
        <v>171</v>
      </c>
      <c r="H75" s="26" t="s">
        <v>309</v>
      </c>
      <c r="I75" s="26" t="s">
        <v>288</v>
      </c>
      <c r="J75" s="26"/>
    </row>
    <row r="76" spans="2:10" ht="18.75" customHeight="1" x14ac:dyDescent="0.25">
      <c r="B76" s="93">
        <v>69</v>
      </c>
      <c r="C76" s="22" t="s">
        <v>310</v>
      </c>
      <c r="D76" s="22" t="s">
        <v>311</v>
      </c>
      <c r="E76" s="94">
        <v>468.05</v>
      </c>
      <c r="F76" s="95"/>
      <c r="G76" s="22" t="s">
        <v>171</v>
      </c>
      <c r="H76" s="22" t="s">
        <v>221</v>
      </c>
      <c r="I76" s="22" t="s">
        <v>288</v>
      </c>
      <c r="J76" s="22"/>
    </row>
    <row r="77" spans="2:10" ht="18.75" customHeight="1" x14ac:dyDescent="0.25">
      <c r="B77" s="96">
        <v>70</v>
      </c>
      <c r="C77" s="26" t="s">
        <v>310</v>
      </c>
      <c r="D77" s="26" t="s">
        <v>312</v>
      </c>
      <c r="E77" s="97">
        <v>719.25</v>
      </c>
      <c r="F77" s="98"/>
      <c r="G77" s="26" t="s">
        <v>171</v>
      </c>
      <c r="H77" s="26" t="s">
        <v>221</v>
      </c>
      <c r="I77" s="26" t="s">
        <v>288</v>
      </c>
      <c r="J77" s="26"/>
    </row>
    <row r="78" spans="2:10" ht="18.75" customHeight="1" x14ac:dyDescent="0.25">
      <c r="B78" s="93">
        <v>71</v>
      </c>
      <c r="C78" s="22" t="s">
        <v>310</v>
      </c>
      <c r="D78" s="22" t="s">
        <v>313</v>
      </c>
      <c r="E78" s="94">
        <v>290</v>
      </c>
      <c r="F78" s="95"/>
      <c r="G78" s="22" t="s">
        <v>171</v>
      </c>
      <c r="H78" s="22" t="s">
        <v>221</v>
      </c>
      <c r="I78" s="22" t="s">
        <v>288</v>
      </c>
      <c r="J78" s="22"/>
    </row>
    <row r="79" spans="2:10" ht="18.75" customHeight="1" x14ac:dyDescent="0.25">
      <c r="B79" s="96">
        <v>72</v>
      </c>
      <c r="C79" s="26" t="s">
        <v>310</v>
      </c>
      <c r="D79" s="26" t="s">
        <v>314</v>
      </c>
      <c r="E79" s="97">
        <v>734.7</v>
      </c>
      <c r="F79" s="98"/>
      <c r="G79" s="26" t="s">
        <v>167</v>
      </c>
      <c r="H79" s="26" t="s">
        <v>20</v>
      </c>
      <c r="I79" s="26" t="s">
        <v>288</v>
      </c>
      <c r="J79" s="26"/>
    </row>
    <row r="80" spans="2:10" ht="18.75" customHeight="1" x14ac:dyDescent="0.25">
      <c r="B80" s="93">
        <v>73</v>
      </c>
      <c r="C80" s="22" t="s">
        <v>310</v>
      </c>
      <c r="D80" s="22" t="s">
        <v>315</v>
      </c>
      <c r="E80" s="94">
        <v>1900</v>
      </c>
      <c r="F80" s="95"/>
      <c r="G80" s="22" t="s">
        <v>164</v>
      </c>
      <c r="H80" s="22" t="s">
        <v>316</v>
      </c>
      <c r="I80" s="22" t="s">
        <v>288</v>
      </c>
      <c r="J80" s="22"/>
    </row>
    <row r="81" spans="2:10" ht="18.75" customHeight="1" x14ac:dyDescent="0.25">
      <c r="B81" s="96">
        <v>74</v>
      </c>
      <c r="C81" s="26" t="s">
        <v>317</v>
      </c>
      <c r="D81" s="26" t="s">
        <v>318</v>
      </c>
      <c r="E81" s="97">
        <v>143.5</v>
      </c>
      <c r="F81" s="98"/>
      <c r="G81" s="26" t="s">
        <v>171</v>
      </c>
      <c r="H81" s="26" t="s">
        <v>217</v>
      </c>
      <c r="I81" s="26" t="s">
        <v>288</v>
      </c>
      <c r="J81" s="26"/>
    </row>
    <row r="82" spans="2:10" ht="18.75" customHeight="1" x14ac:dyDescent="0.25">
      <c r="B82" s="99">
        <v>75</v>
      </c>
      <c r="C82" s="100" t="s">
        <v>317</v>
      </c>
      <c r="D82" s="100" t="s">
        <v>223</v>
      </c>
      <c r="E82" s="101">
        <v>98</v>
      </c>
      <c r="F82" s="102"/>
      <c r="G82" s="100" t="s">
        <v>224</v>
      </c>
      <c r="H82" s="100" t="s">
        <v>26</v>
      </c>
      <c r="I82" s="100" t="s">
        <v>288</v>
      </c>
      <c r="J82" s="100"/>
    </row>
    <row r="83" spans="2:10" ht="18.75" customHeight="1" x14ac:dyDescent="0.25">
      <c r="B83" s="96">
        <v>76</v>
      </c>
      <c r="C83" s="26" t="s">
        <v>319</v>
      </c>
      <c r="D83" s="26" t="s">
        <v>318</v>
      </c>
      <c r="E83" s="97">
        <v>1192</v>
      </c>
      <c r="F83" s="98"/>
      <c r="G83" s="26" t="s">
        <v>171</v>
      </c>
      <c r="H83" s="26" t="s">
        <v>217</v>
      </c>
      <c r="I83" s="26" t="s">
        <v>288</v>
      </c>
      <c r="J83" s="26"/>
    </row>
    <row r="84" spans="2:10" ht="18.75" customHeight="1" x14ac:dyDescent="0.25">
      <c r="B84" s="93">
        <v>77</v>
      </c>
      <c r="C84" s="22" t="s">
        <v>319</v>
      </c>
      <c r="D84" s="22" t="s">
        <v>320</v>
      </c>
      <c r="E84" s="94">
        <v>583.08000000000004</v>
      </c>
      <c r="F84" s="95"/>
      <c r="G84" s="22" t="s">
        <v>171</v>
      </c>
      <c r="H84" s="22" t="s">
        <v>217</v>
      </c>
      <c r="I84" s="22" t="s">
        <v>288</v>
      </c>
      <c r="J84" s="22" t="s">
        <v>321</v>
      </c>
    </row>
    <row r="85" spans="2:10" ht="18.75" customHeight="1" x14ac:dyDescent="0.25">
      <c r="B85" s="96">
        <v>78</v>
      </c>
      <c r="C85" s="26" t="s">
        <v>319</v>
      </c>
      <c r="D85" s="26" t="s">
        <v>322</v>
      </c>
      <c r="E85" s="97">
        <v>109</v>
      </c>
      <c r="F85" s="98"/>
      <c r="G85" s="26" t="s">
        <v>171</v>
      </c>
      <c r="H85" s="26" t="s">
        <v>217</v>
      </c>
      <c r="I85" s="26" t="s">
        <v>288</v>
      </c>
      <c r="J85" s="26" t="s">
        <v>323</v>
      </c>
    </row>
    <row r="86" spans="2:10" ht="18.75" customHeight="1" x14ac:dyDescent="0.25">
      <c r="B86" s="93">
        <v>79</v>
      </c>
      <c r="C86" s="22" t="s">
        <v>324</v>
      </c>
      <c r="D86" s="22" t="s">
        <v>235</v>
      </c>
      <c r="E86" s="94">
        <v>279</v>
      </c>
      <c r="F86" s="95"/>
      <c r="G86" s="22" t="s">
        <v>176</v>
      </c>
      <c r="H86" s="22" t="s">
        <v>44</v>
      </c>
      <c r="I86" s="22" t="s">
        <v>288</v>
      </c>
      <c r="J86" s="22"/>
    </row>
    <row r="87" spans="2:10" ht="18.75" customHeight="1" x14ac:dyDescent="0.25">
      <c r="B87" s="103">
        <v>80</v>
      </c>
      <c r="C87" s="104" t="s">
        <v>325</v>
      </c>
      <c r="D87" s="104" t="s">
        <v>239</v>
      </c>
      <c r="E87" s="105"/>
      <c r="F87" s="106">
        <v>95.36</v>
      </c>
      <c r="G87" s="104" t="s">
        <v>240</v>
      </c>
      <c r="H87" s="104" t="s">
        <v>241</v>
      </c>
      <c r="I87" s="104" t="s">
        <v>288</v>
      </c>
      <c r="J87" s="104"/>
    </row>
    <row r="88" spans="2:10" ht="18.75" customHeight="1" x14ac:dyDescent="0.25">
      <c r="B88" s="111">
        <v>81</v>
      </c>
      <c r="C88" s="112" t="s">
        <v>325</v>
      </c>
      <c r="D88" s="112" t="s">
        <v>239</v>
      </c>
      <c r="E88" s="113"/>
      <c r="F88" s="114">
        <v>2000</v>
      </c>
      <c r="G88" s="112" t="s">
        <v>240</v>
      </c>
      <c r="H88" s="112" t="s">
        <v>241</v>
      </c>
      <c r="I88" s="112" t="s">
        <v>288</v>
      </c>
      <c r="J88" s="112"/>
    </row>
    <row r="89" spans="2:10" ht="18.75" customHeight="1" x14ac:dyDescent="0.25">
      <c r="B89" s="107">
        <v>82</v>
      </c>
      <c r="C89" s="108" t="s">
        <v>326</v>
      </c>
      <c r="D89" s="108" t="s">
        <v>223</v>
      </c>
      <c r="E89" s="109">
        <v>242.5</v>
      </c>
      <c r="F89" s="110"/>
      <c r="G89" s="108" t="s">
        <v>224</v>
      </c>
      <c r="H89" s="108" t="s">
        <v>26</v>
      </c>
      <c r="I89" s="108" t="s">
        <v>288</v>
      </c>
      <c r="J89" s="108"/>
    </row>
    <row r="90" spans="2:10" ht="18.75" customHeight="1" x14ac:dyDescent="0.25">
      <c r="B90" s="99">
        <v>83</v>
      </c>
      <c r="C90" s="100" t="s">
        <v>326</v>
      </c>
      <c r="D90" s="100" t="s">
        <v>327</v>
      </c>
      <c r="E90" s="101">
        <v>87.89</v>
      </c>
      <c r="F90" s="102"/>
      <c r="G90" s="100" t="s">
        <v>178</v>
      </c>
      <c r="H90" s="100" t="s">
        <v>38</v>
      </c>
      <c r="I90" s="100" t="s">
        <v>288</v>
      </c>
      <c r="J90" s="100"/>
    </row>
    <row r="91" spans="2:10" ht="18.75" customHeight="1" x14ac:dyDescent="0.25">
      <c r="B91" s="103">
        <v>84</v>
      </c>
      <c r="C91" s="104" t="s">
        <v>326</v>
      </c>
      <c r="D91" s="104" t="s">
        <v>239</v>
      </c>
      <c r="E91" s="105"/>
      <c r="F91" s="106">
        <v>5000</v>
      </c>
      <c r="G91" s="104" t="s">
        <v>240</v>
      </c>
      <c r="H91" s="104" t="s">
        <v>241</v>
      </c>
      <c r="I91" s="104" t="s">
        <v>288</v>
      </c>
      <c r="J91" s="104" t="s">
        <v>289</v>
      </c>
    </row>
    <row r="92" spans="2:10" ht="18.75" customHeight="1" x14ac:dyDescent="0.25">
      <c r="B92" s="93">
        <v>85</v>
      </c>
      <c r="C92" s="22" t="s">
        <v>326</v>
      </c>
      <c r="D92" s="22" t="s">
        <v>328</v>
      </c>
      <c r="E92" s="94">
        <v>357</v>
      </c>
      <c r="F92" s="95"/>
      <c r="G92" s="22" t="s">
        <v>171</v>
      </c>
      <c r="H92" s="22" t="s">
        <v>249</v>
      </c>
      <c r="I92" s="22" t="s">
        <v>288</v>
      </c>
      <c r="J92" s="22"/>
    </row>
    <row r="93" spans="2:10" ht="18.75" customHeight="1" x14ac:dyDescent="0.25">
      <c r="B93" s="96">
        <v>86</v>
      </c>
      <c r="C93" s="26" t="s">
        <v>326</v>
      </c>
      <c r="D93" s="26" t="s">
        <v>226</v>
      </c>
      <c r="E93" s="97">
        <v>50</v>
      </c>
      <c r="F93" s="98"/>
      <c r="G93" s="26" t="s">
        <v>174</v>
      </c>
      <c r="H93" s="26" t="s">
        <v>41</v>
      </c>
      <c r="I93" s="26" t="s">
        <v>288</v>
      </c>
      <c r="J93" s="26" t="s">
        <v>228</v>
      </c>
    </row>
    <row r="94" spans="2:10" ht="18.75" customHeight="1" x14ac:dyDescent="0.25">
      <c r="B94" s="99">
        <v>87</v>
      </c>
      <c r="C94" s="100" t="s">
        <v>329</v>
      </c>
      <c r="D94" s="100" t="s">
        <v>223</v>
      </c>
      <c r="E94" s="101">
        <v>484</v>
      </c>
      <c r="F94" s="102"/>
      <c r="G94" s="100" t="s">
        <v>224</v>
      </c>
      <c r="H94" s="100" t="s">
        <v>26</v>
      </c>
      <c r="I94" s="100" t="s">
        <v>330</v>
      </c>
      <c r="J94" s="100"/>
    </row>
    <row r="95" spans="2:10" ht="18.75" customHeight="1" x14ac:dyDescent="0.25">
      <c r="B95" s="96">
        <v>88</v>
      </c>
      <c r="C95" s="26" t="s">
        <v>331</v>
      </c>
      <c r="D95" s="26" t="s">
        <v>318</v>
      </c>
      <c r="E95" s="97">
        <v>378.49</v>
      </c>
      <c r="F95" s="98"/>
      <c r="G95" s="26" t="s">
        <v>171</v>
      </c>
      <c r="H95" s="26" t="s">
        <v>217</v>
      </c>
      <c r="I95" s="26" t="s">
        <v>330</v>
      </c>
      <c r="J95" s="26"/>
    </row>
    <row r="96" spans="2:10" ht="18.75" customHeight="1" x14ac:dyDescent="0.25">
      <c r="B96" s="93">
        <v>89</v>
      </c>
      <c r="C96" s="22" t="s">
        <v>331</v>
      </c>
      <c r="D96" s="22" t="s">
        <v>332</v>
      </c>
      <c r="E96" s="94">
        <v>1010.03</v>
      </c>
      <c r="F96" s="95"/>
      <c r="G96" s="22" t="s">
        <v>167</v>
      </c>
      <c r="H96" s="22" t="s">
        <v>20</v>
      </c>
      <c r="I96" s="22" t="s">
        <v>330</v>
      </c>
      <c r="J96" s="22"/>
    </row>
    <row r="97" spans="2:10" ht="18.75" customHeight="1" x14ac:dyDescent="0.25">
      <c r="B97" s="96">
        <v>90</v>
      </c>
      <c r="C97" s="26" t="s">
        <v>331</v>
      </c>
      <c r="D97" s="26" t="s">
        <v>226</v>
      </c>
      <c r="E97" s="97">
        <v>250</v>
      </c>
      <c r="F97" s="98"/>
      <c r="G97" s="26" t="s">
        <v>174</v>
      </c>
      <c r="H97" s="26" t="s">
        <v>41</v>
      </c>
      <c r="I97" s="26" t="s">
        <v>330</v>
      </c>
      <c r="J97" s="26" t="s">
        <v>228</v>
      </c>
    </row>
    <row r="98" spans="2:10" ht="18.75" customHeight="1" x14ac:dyDescent="0.25">
      <c r="B98" s="93">
        <v>91</v>
      </c>
      <c r="C98" s="22" t="s">
        <v>333</v>
      </c>
      <c r="D98" s="22" t="s">
        <v>318</v>
      </c>
      <c r="E98" s="94">
        <v>1238.96</v>
      </c>
      <c r="F98" s="95"/>
      <c r="G98" s="22" t="s">
        <v>171</v>
      </c>
      <c r="H98" s="22" t="s">
        <v>217</v>
      </c>
      <c r="I98" s="22" t="s">
        <v>330</v>
      </c>
      <c r="J98" s="22"/>
    </row>
    <row r="99" spans="2:10" ht="18.75" customHeight="1" x14ac:dyDescent="0.25">
      <c r="B99" s="96">
        <v>92</v>
      </c>
      <c r="C99" s="26" t="s">
        <v>334</v>
      </c>
      <c r="D99" s="26" t="s">
        <v>318</v>
      </c>
      <c r="E99" s="97">
        <v>1802.7</v>
      </c>
      <c r="F99" s="98"/>
      <c r="G99" s="26" t="s">
        <v>171</v>
      </c>
      <c r="H99" s="26" t="s">
        <v>217</v>
      </c>
      <c r="I99" s="26" t="s">
        <v>330</v>
      </c>
      <c r="J99" s="26"/>
    </row>
    <row r="100" spans="2:10" ht="18.75" customHeight="1" x14ac:dyDescent="0.25">
      <c r="B100" s="99">
        <v>93</v>
      </c>
      <c r="C100" s="100" t="s">
        <v>334</v>
      </c>
      <c r="D100" s="100" t="s">
        <v>223</v>
      </c>
      <c r="E100" s="101">
        <v>98</v>
      </c>
      <c r="F100" s="102"/>
      <c r="G100" s="100" t="s">
        <v>224</v>
      </c>
      <c r="H100" s="100" t="s">
        <v>26</v>
      </c>
      <c r="I100" s="100" t="s">
        <v>330</v>
      </c>
      <c r="J100" s="100"/>
    </row>
    <row r="101" spans="2:10" ht="18.75" customHeight="1" x14ac:dyDescent="0.25">
      <c r="B101" s="103">
        <v>94</v>
      </c>
      <c r="C101" s="104" t="s">
        <v>334</v>
      </c>
      <c r="D101" s="104" t="s">
        <v>239</v>
      </c>
      <c r="E101" s="105"/>
      <c r="F101" s="106">
        <v>2000</v>
      </c>
      <c r="G101" s="104" t="s">
        <v>240</v>
      </c>
      <c r="H101" s="104" t="s">
        <v>241</v>
      </c>
      <c r="I101" s="104" t="s">
        <v>330</v>
      </c>
      <c r="J101" s="104"/>
    </row>
    <row r="102" spans="2:10" ht="18.75" customHeight="1" x14ac:dyDescent="0.25">
      <c r="B102" s="93">
        <v>95</v>
      </c>
      <c r="C102" s="22" t="s">
        <v>334</v>
      </c>
      <c r="D102" s="22" t="s">
        <v>226</v>
      </c>
      <c r="E102" s="94">
        <v>50</v>
      </c>
      <c r="F102" s="95"/>
      <c r="G102" s="22" t="s">
        <v>174</v>
      </c>
      <c r="H102" s="22" t="s">
        <v>41</v>
      </c>
      <c r="I102" s="22" t="s">
        <v>330</v>
      </c>
      <c r="J102" s="22" t="s">
        <v>228</v>
      </c>
    </row>
    <row r="103" spans="2:10" ht="18.75" customHeight="1" x14ac:dyDescent="0.25">
      <c r="B103" s="96">
        <v>96</v>
      </c>
      <c r="C103" s="26" t="s">
        <v>335</v>
      </c>
      <c r="D103" s="26" t="s">
        <v>261</v>
      </c>
      <c r="E103" s="97">
        <v>900</v>
      </c>
      <c r="F103" s="98"/>
      <c r="G103" s="26" t="s">
        <v>29</v>
      </c>
      <c r="H103" s="26" t="s">
        <v>262</v>
      </c>
      <c r="I103" s="26" t="s">
        <v>330</v>
      </c>
      <c r="J103" s="26"/>
    </row>
    <row r="104" spans="2:10" ht="18.75" customHeight="1" x14ac:dyDescent="0.25">
      <c r="B104" s="99">
        <v>97</v>
      </c>
      <c r="C104" s="100" t="s">
        <v>335</v>
      </c>
      <c r="D104" s="100" t="s">
        <v>336</v>
      </c>
      <c r="E104" s="101">
        <v>100</v>
      </c>
      <c r="F104" s="102"/>
      <c r="G104" s="100" t="s">
        <v>224</v>
      </c>
      <c r="H104" s="100" t="s">
        <v>26</v>
      </c>
      <c r="I104" s="100" t="s">
        <v>330</v>
      </c>
      <c r="J104" s="100"/>
    </row>
    <row r="105" spans="2:10" ht="18.75" customHeight="1" x14ac:dyDescent="0.25">
      <c r="B105" s="96">
        <v>98</v>
      </c>
      <c r="C105" s="26" t="s">
        <v>337</v>
      </c>
      <c r="D105" s="26" t="s">
        <v>338</v>
      </c>
      <c r="E105" s="97">
        <v>585.34</v>
      </c>
      <c r="F105" s="98"/>
      <c r="G105" s="26" t="s">
        <v>179</v>
      </c>
      <c r="H105" s="26" t="s">
        <v>339</v>
      </c>
      <c r="I105" s="26" t="s">
        <v>330</v>
      </c>
      <c r="J105" s="26" t="s">
        <v>297</v>
      </c>
    </row>
    <row r="106" spans="2:10" ht="18.75" customHeight="1" x14ac:dyDescent="0.25">
      <c r="B106" s="93">
        <v>99</v>
      </c>
      <c r="C106" s="22" t="s">
        <v>337</v>
      </c>
      <c r="D106" s="22" t="s">
        <v>340</v>
      </c>
      <c r="E106" s="94">
        <v>405</v>
      </c>
      <c r="F106" s="95"/>
      <c r="G106" s="22" t="s">
        <v>171</v>
      </c>
      <c r="H106" s="22" t="s">
        <v>221</v>
      </c>
      <c r="I106" s="22" t="s">
        <v>330</v>
      </c>
      <c r="J106" s="22"/>
    </row>
    <row r="107" spans="2:10" ht="18.75" customHeight="1" x14ac:dyDescent="0.25">
      <c r="B107" s="96">
        <v>100</v>
      </c>
      <c r="C107" s="26" t="s">
        <v>337</v>
      </c>
      <c r="D107" s="26" t="s">
        <v>341</v>
      </c>
      <c r="E107" s="97">
        <v>709.96</v>
      </c>
      <c r="F107" s="98"/>
      <c r="G107" s="26" t="s">
        <v>171</v>
      </c>
      <c r="H107" s="26" t="s">
        <v>221</v>
      </c>
      <c r="I107" s="26" t="s">
        <v>330</v>
      </c>
      <c r="J107" s="26"/>
    </row>
    <row r="108" spans="2:10" ht="18.75" customHeight="1" x14ac:dyDescent="0.25">
      <c r="B108" s="99">
        <v>101</v>
      </c>
      <c r="C108" s="100" t="s">
        <v>337</v>
      </c>
      <c r="D108" s="100" t="s">
        <v>223</v>
      </c>
      <c r="E108" s="101">
        <v>98</v>
      </c>
      <c r="F108" s="102"/>
      <c r="G108" s="100" t="s">
        <v>224</v>
      </c>
      <c r="H108" s="100" t="s">
        <v>26</v>
      </c>
      <c r="I108" s="100" t="s">
        <v>330</v>
      </c>
      <c r="J108" s="100"/>
    </row>
    <row r="109" spans="2:10" ht="18.75" customHeight="1" x14ac:dyDescent="0.25">
      <c r="B109" s="103">
        <v>102</v>
      </c>
      <c r="C109" s="104" t="s">
        <v>342</v>
      </c>
      <c r="D109" s="104" t="s">
        <v>239</v>
      </c>
      <c r="E109" s="105"/>
      <c r="F109" s="106">
        <v>400</v>
      </c>
      <c r="G109" s="104" t="s">
        <v>240</v>
      </c>
      <c r="H109" s="104" t="s">
        <v>241</v>
      </c>
      <c r="I109" s="104" t="s">
        <v>330</v>
      </c>
      <c r="J109" s="104"/>
    </row>
    <row r="110" spans="2:10" ht="18.75" customHeight="1" x14ac:dyDescent="0.25">
      <c r="B110" s="93">
        <v>103</v>
      </c>
      <c r="C110" s="22" t="s">
        <v>342</v>
      </c>
      <c r="D110" s="22" t="s">
        <v>275</v>
      </c>
      <c r="E110" s="94">
        <v>369</v>
      </c>
      <c r="F110" s="95"/>
      <c r="G110" s="22" t="s">
        <v>174</v>
      </c>
      <c r="H110" s="22" t="s">
        <v>276</v>
      </c>
      <c r="I110" s="22" t="s">
        <v>330</v>
      </c>
      <c r="J110" s="22"/>
    </row>
    <row r="111" spans="2:10" ht="18.75" customHeight="1" x14ac:dyDescent="0.25">
      <c r="B111" s="96">
        <v>104</v>
      </c>
      <c r="C111" s="26" t="s">
        <v>343</v>
      </c>
      <c r="D111" s="26" t="s">
        <v>344</v>
      </c>
      <c r="E111" s="97">
        <v>88.2</v>
      </c>
      <c r="F111" s="98"/>
      <c r="G111" s="26" t="s">
        <v>29</v>
      </c>
      <c r="H111" s="26" t="s">
        <v>281</v>
      </c>
      <c r="I111" s="26" t="s">
        <v>330</v>
      </c>
      <c r="J111" s="26"/>
    </row>
    <row r="112" spans="2:10" ht="18.75" customHeight="1" x14ac:dyDescent="0.25">
      <c r="B112" s="99">
        <v>105</v>
      </c>
      <c r="C112" s="100" t="s">
        <v>343</v>
      </c>
      <c r="D112" s="100" t="s">
        <v>223</v>
      </c>
      <c r="E112" s="101">
        <v>102.5</v>
      </c>
      <c r="F112" s="102"/>
      <c r="G112" s="100" t="s">
        <v>224</v>
      </c>
      <c r="H112" s="100" t="s">
        <v>26</v>
      </c>
      <c r="I112" s="100" t="s">
        <v>330</v>
      </c>
      <c r="J112" s="100"/>
    </row>
    <row r="113" spans="2:10" ht="18.75" customHeight="1" x14ac:dyDescent="0.25">
      <c r="B113" s="96">
        <v>106</v>
      </c>
      <c r="C113" s="26" t="s">
        <v>343</v>
      </c>
      <c r="D113" s="26" t="s">
        <v>230</v>
      </c>
      <c r="E113" s="97">
        <v>82</v>
      </c>
      <c r="F113" s="98"/>
      <c r="G113" s="26" t="s">
        <v>29</v>
      </c>
      <c r="H113" s="26" t="s">
        <v>231</v>
      </c>
      <c r="I113" s="26" t="s">
        <v>330</v>
      </c>
      <c r="J113" s="26"/>
    </row>
    <row r="114" spans="2:10" ht="18.75" customHeight="1" x14ac:dyDescent="0.25">
      <c r="B114" s="99">
        <v>107</v>
      </c>
      <c r="C114" s="100" t="s">
        <v>345</v>
      </c>
      <c r="D114" s="100" t="s">
        <v>223</v>
      </c>
      <c r="E114" s="101">
        <v>98</v>
      </c>
      <c r="F114" s="102"/>
      <c r="G114" s="100" t="s">
        <v>224</v>
      </c>
      <c r="H114" s="100" t="s">
        <v>26</v>
      </c>
      <c r="I114" s="100" t="s">
        <v>330</v>
      </c>
      <c r="J114" s="100"/>
    </row>
    <row r="115" spans="2:10" ht="18.75" customHeight="1" x14ac:dyDescent="0.25">
      <c r="B115" s="96">
        <v>108</v>
      </c>
      <c r="C115" s="26" t="s">
        <v>345</v>
      </c>
      <c r="D115" s="26" t="s">
        <v>346</v>
      </c>
      <c r="E115" s="97">
        <v>934.71</v>
      </c>
      <c r="F115" s="98"/>
      <c r="G115" s="26" t="s">
        <v>167</v>
      </c>
      <c r="H115" s="26" t="s">
        <v>20</v>
      </c>
      <c r="I115" s="26" t="s">
        <v>330</v>
      </c>
      <c r="J115" s="26"/>
    </row>
    <row r="116" spans="2:10" ht="18.75" customHeight="1" x14ac:dyDescent="0.25">
      <c r="B116" s="99">
        <v>109</v>
      </c>
      <c r="C116" s="100" t="s">
        <v>347</v>
      </c>
      <c r="D116" s="100" t="s">
        <v>223</v>
      </c>
      <c r="E116" s="101">
        <v>129.4</v>
      </c>
      <c r="F116" s="102"/>
      <c r="G116" s="100" t="s">
        <v>224</v>
      </c>
      <c r="H116" s="100" t="s">
        <v>26</v>
      </c>
      <c r="I116" s="100" t="s">
        <v>330</v>
      </c>
      <c r="J116" s="100"/>
    </row>
    <row r="117" spans="2:10" ht="18.75" customHeight="1" x14ac:dyDescent="0.25">
      <c r="B117" s="96">
        <v>110</v>
      </c>
      <c r="C117" s="26" t="s">
        <v>347</v>
      </c>
      <c r="D117" s="26" t="s">
        <v>348</v>
      </c>
      <c r="E117" s="97">
        <v>60</v>
      </c>
      <c r="F117" s="98"/>
      <c r="G117" s="26" t="s">
        <v>174</v>
      </c>
      <c r="H117" s="26" t="s">
        <v>349</v>
      </c>
      <c r="I117" s="26" t="s">
        <v>330</v>
      </c>
      <c r="J117" s="26"/>
    </row>
    <row r="118" spans="2:10" ht="18.75" customHeight="1" x14ac:dyDescent="0.25">
      <c r="B118" s="111">
        <v>111</v>
      </c>
      <c r="C118" s="112" t="s">
        <v>350</v>
      </c>
      <c r="D118" s="112" t="s">
        <v>239</v>
      </c>
      <c r="E118" s="113"/>
      <c r="F118" s="114">
        <v>500</v>
      </c>
      <c r="G118" s="112" t="s">
        <v>240</v>
      </c>
      <c r="H118" s="112" t="s">
        <v>241</v>
      </c>
      <c r="I118" s="112" t="s">
        <v>330</v>
      </c>
      <c r="J118" s="112"/>
    </row>
    <row r="119" spans="2:10" ht="18.75" customHeight="1" x14ac:dyDescent="0.25">
      <c r="B119" s="96">
        <v>112</v>
      </c>
      <c r="C119" s="26" t="s">
        <v>350</v>
      </c>
      <c r="D119" s="26" t="s">
        <v>226</v>
      </c>
      <c r="E119" s="97">
        <v>150</v>
      </c>
      <c r="F119" s="98"/>
      <c r="G119" s="26" t="s">
        <v>174</v>
      </c>
      <c r="H119" s="26" t="s">
        <v>41</v>
      </c>
      <c r="I119" s="26" t="s">
        <v>330</v>
      </c>
      <c r="J119" s="26" t="s">
        <v>228</v>
      </c>
    </row>
    <row r="120" spans="2:10" ht="18.75" customHeight="1" x14ac:dyDescent="0.25">
      <c r="B120" s="93">
        <v>113</v>
      </c>
      <c r="C120" s="22" t="s">
        <v>351</v>
      </c>
      <c r="D120" s="22" t="s">
        <v>352</v>
      </c>
      <c r="E120" s="94">
        <v>71</v>
      </c>
      <c r="F120" s="95"/>
      <c r="G120" s="22" t="s">
        <v>171</v>
      </c>
      <c r="H120" s="22" t="s">
        <v>221</v>
      </c>
      <c r="I120" s="22" t="s">
        <v>330</v>
      </c>
      <c r="J120" s="22"/>
    </row>
    <row r="121" spans="2:10" ht="18.75" customHeight="1" x14ac:dyDescent="0.25">
      <c r="B121" s="96">
        <v>114</v>
      </c>
      <c r="C121" s="26" t="s">
        <v>351</v>
      </c>
      <c r="D121" s="26" t="s">
        <v>226</v>
      </c>
      <c r="E121" s="97">
        <v>50</v>
      </c>
      <c r="F121" s="98"/>
      <c r="G121" s="26" t="s">
        <v>174</v>
      </c>
      <c r="H121" s="26" t="s">
        <v>41</v>
      </c>
      <c r="I121" s="26" t="s">
        <v>330</v>
      </c>
      <c r="J121" s="26" t="s">
        <v>228</v>
      </c>
    </row>
    <row r="122" spans="2:10" ht="18.75" customHeight="1" x14ac:dyDescent="0.25">
      <c r="B122" s="93">
        <v>115</v>
      </c>
      <c r="C122" s="22" t="s">
        <v>353</v>
      </c>
      <c r="D122" s="22" t="s">
        <v>237</v>
      </c>
      <c r="E122" s="94">
        <v>828</v>
      </c>
      <c r="F122" s="95"/>
      <c r="G122" s="22" t="s">
        <v>171</v>
      </c>
      <c r="H122" s="22" t="s">
        <v>217</v>
      </c>
      <c r="I122" s="22" t="s">
        <v>330</v>
      </c>
      <c r="J122" s="22"/>
    </row>
    <row r="123" spans="2:10" ht="18.75" customHeight="1" x14ac:dyDescent="0.25">
      <c r="B123" s="96">
        <v>116</v>
      </c>
      <c r="C123" s="26" t="s">
        <v>353</v>
      </c>
      <c r="D123" s="26" t="s">
        <v>354</v>
      </c>
      <c r="E123" s="97">
        <v>73.56</v>
      </c>
      <c r="F123" s="98"/>
      <c r="G123" s="26" t="s">
        <v>171</v>
      </c>
      <c r="H123" s="26" t="s">
        <v>217</v>
      </c>
      <c r="I123" s="26" t="s">
        <v>330</v>
      </c>
      <c r="J123" s="26"/>
    </row>
    <row r="124" spans="2:10" ht="18.75" customHeight="1" x14ac:dyDescent="0.25">
      <c r="B124" s="99">
        <v>117</v>
      </c>
      <c r="C124" s="100" t="s">
        <v>353</v>
      </c>
      <c r="D124" s="100" t="s">
        <v>223</v>
      </c>
      <c r="E124" s="101">
        <v>105.9</v>
      </c>
      <c r="F124" s="102"/>
      <c r="G124" s="100" t="s">
        <v>224</v>
      </c>
      <c r="H124" s="100" t="s">
        <v>26</v>
      </c>
      <c r="I124" s="100" t="s">
        <v>330</v>
      </c>
      <c r="J124" s="100"/>
    </row>
    <row r="125" spans="2:10" ht="18.75" customHeight="1" x14ac:dyDescent="0.25">
      <c r="B125" s="107">
        <v>118</v>
      </c>
      <c r="C125" s="108" t="s">
        <v>353</v>
      </c>
      <c r="D125" s="108" t="s">
        <v>223</v>
      </c>
      <c r="E125" s="109">
        <v>98</v>
      </c>
      <c r="F125" s="110"/>
      <c r="G125" s="108" t="s">
        <v>224</v>
      </c>
      <c r="H125" s="108" t="s">
        <v>26</v>
      </c>
      <c r="I125" s="108" t="s">
        <v>330</v>
      </c>
      <c r="J125" s="108"/>
    </row>
    <row r="126" spans="2:10" ht="18.75" customHeight="1" x14ac:dyDescent="0.25">
      <c r="B126" s="111">
        <v>119</v>
      </c>
      <c r="C126" s="112" t="s">
        <v>353</v>
      </c>
      <c r="D126" s="112" t="s">
        <v>239</v>
      </c>
      <c r="E126" s="113"/>
      <c r="F126" s="114">
        <v>300</v>
      </c>
      <c r="G126" s="112" t="s">
        <v>240</v>
      </c>
      <c r="H126" s="112" t="s">
        <v>241</v>
      </c>
      <c r="I126" s="112" t="s">
        <v>330</v>
      </c>
      <c r="J126" s="112"/>
    </row>
    <row r="127" spans="2:10" ht="18.75" customHeight="1" x14ac:dyDescent="0.25">
      <c r="B127" s="96">
        <v>120</v>
      </c>
      <c r="C127" s="26" t="s">
        <v>353</v>
      </c>
      <c r="D127" s="26" t="s">
        <v>328</v>
      </c>
      <c r="E127" s="97">
        <v>440</v>
      </c>
      <c r="F127" s="98"/>
      <c r="G127" s="26" t="s">
        <v>171</v>
      </c>
      <c r="H127" s="26" t="s">
        <v>249</v>
      </c>
      <c r="I127" s="26" t="s">
        <v>330</v>
      </c>
      <c r="J127" s="26"/>
    </row>
    <row r="128" spans="2:10" ht="18.75" customHeight="1" x14ac:dyDescent="0.25">
      <c r="B128" s="99">
        <v>121</v>
      </c>
      <c r="C128" s="100" t="s">
        <v>355</v>
      </c>
      <c r="D128" s="100" t="s">
        <v>223</v>
      </c>
      <c r="E128" s="101">
        <v>152.5</v>
      </c>
      <c r="F128" s="102"/>
      <c r="G128" s="100" t="s">
        <v>224</v>
      </c>
      <c r="H128" s="100" t="s">
        <v>26</v>
      </c>
      <c r="I128" s="100" t="s">
        <v>356</v>
      </c>
      <c r="J128" s="100"/>
    </row>
    <row r="129" spans="2:10" ht="18.75" customHeight="1" x14ac:dyDescent="0.25">
      <c r="B129" s="103">
        <v>122</v>
      </c>
      <c r="C129" s="104" t="s">
        <v>355</v>
      </c>
      <c r="D129" s="104" t="s">
        <v>239</v>
      </c>
      <c r="E129" s="105"/>
      <c r="F129" s="106">
        <v>5000</v>
      </c>
      <c r="G129" s="104" t="s">
        <v>240</v>
      </c>
      <c r="H129" s="104" t="s">
        <v>241</v>
      </c>
      <c r="I129" s="104" t="s">
        <v>356</v>
      </c>
      <c r="J129" s="104" t="s">
        <v>289</v>
      </c>
    </row>
    <row r="130" spans="2:10" ht="18.75" customHeight="1" x14ac:dyDescent="0.25">
      <c r="B130" s="93">
        <v>123</v>
      </c>
      <c r="C130" s="22" t="s">
        <v>357</v>
      </c>
      <c r="D130" s="22" t="s">
        <v>266</v>
      </c>
      <c r="E130" s="94">
        <v>935.6</v>
      </c>
      <c r="F130" s="95"/>
      <c r="G130" s="22" t="s">
        <v>167</v>
      </c>
      <c r="H130" s="22" t="s">
        <v>20</v>
      </c>
      <c r="I130" s="22" t="s">
        <v>356</v>
      </c>
      <c r="J130" s="22"/>
    </row>
    <row r="131" spans="2:10" ht="18.75" customHeight="1" x14ac:dyDescent="0.25">
      <c r="B131" s="96">
        <v>124</v>
      </c>
      <c r="C131" s="26" t="s">
        <v>357</v>
      </c>
      <c r="D131" s="26" t="s">
        <v>216</v>
      </c>
      <c r="E131" s="97">
        <v>700.8</v>
      </c>
      <c r="F131" s="98"/>
      <c r="G131" s="26" t="s">
        <v>171</v>
      </c>
      <c r="H131" s="26" t="s">
        <v>217</v>
      </c>
      <c r="I131" s="26" t="s">
        <v>356</v>
      </c>
      <c r="J131" s="26"/>
    </row>
    <row r="132" spans="2:10" ht="18.75" customHeight="1" x14ac:dyDescent="0.25">
      <c r="B132" s="93">
        <v>125</v>
      </c>
      <c r="C132" s="22" t="s">
        <v>357</v>
      </c>
      <c r="D132" s="22" t="s">
        <v>358</v>
      </c>
      <c r="E132" s="94">
        <v>20</v>
      </c>
      <c r="F132" s="95"/>
      <c r="G132" s="22" t="s">
        <v>171</v>
      </c>
      <c r="H132" s="22" t="s">
        <v>221</v>
      </c>
      <c r="I132" s="22" t="s">
        <v>356</v>
      </c>
      <c r="J132" s="22" t="s">
        <v>359</v>
      </c>
    </row>
    <row r="133" spans="2:10" ht="18.75" customHeight="1" x14ac:dyDescent="0.25">
      <c r="B133" s="96">
        <v>126</v>
      </c>
      <c r="C133" s="26" t="s">
        <v>357</v>
      </c>
      <c r="D133" s="26" t="s">
        <v>216</v>
      </c>
      <c r="E133" s="97">
        <v>3285.75</v>
      </c>
      <c r="F133" s="98"/>
      <c r="G133" s="26" t="s">
        <v>171</v>
      </c>
      <c r="H133" s="26" t="s">
        <v>217</v>
      </c>
      <c r="I133" s="26" t="s">
        <v>356</v>
      </c>
      <c r="J133" s="26"/>
    </row>
    <row r="134" spans="2:10" ht="18.75" customHeight="1" x14ac:dyDescent="0.25">
      <c r="B134" s="93">
        <v>127</v>
      </c>
      <c r="C134" s="22" t="s">
        <v>360</v>
      </c>
      <c r="D134" s="22" t="s">
        <v>361</v>
      </c>
      <c r="E134" s="94">
        <v>353.63</v>
      </c>
      <c r="F134" s="95"/>
      <c r="G134" s="22" t="s">
        <v>171</v>
      </c>
      <c r="H134" s="22" t="s">
        <v>217</v>
      </c>
      <c r="I134" s="22" t="s">
        <v>356</v>
      </c>
      <c r="J134" s="22"/>
    </row>
    <row r="135" spans="2:10" ht="18.75" customHeight="1" x14ac:dyDescent="0.25">
      <c r="B135" s="96">
        <v>128</v>
      </c>
      <c r="C135" s="26" t="s">
        <v>360</v>
      </c>
      <c r="D135" s="26" t="s">
        <v>361</v>
      </c>
      <c r="E135" s="97">
        <v>134.4</v>
      </c>
      <c r="F135" s="98"/>
      <c r="G135" s="26" t="s">
        <v>171</v>
      </c>
      <c r="H135" s="26" t="s">
        <v>217</v>
      </c>
      <c r="I135" s="26" t="s">
        <v>356</v>
      </c>
      <c r="J135" s="26"/>
    </row>
    <row r="136" spans="2:10" ht="18.75" customHeight="1" x14ac:dyDescent="0.25">
      <c r="B136" s="93">
        <v>129</v>
      </c>
      <c r="C136" s="22" t="s">
        <v>360</v>
      </c>
      <c r="D136" s="22" t="s">
        <v>362</v>
      </c>
      <c r="E136" s="94">
        <v>19.989999999999998</v>
      </c>
      <c r="F136" s="95"/>
      <c r="G136" s="22" t="s">
        <v>185</v>
      </c>
      <c r="H136" s="22" t="s">
        <v>363</v>
      </c>
      <c r="I136" s="22" t="s">
        <v>356</v>
      </c>
      <c r="J136" s="22"/>
    </row>
    <row r="137" spans="2:10" ht="18.75" customHeight="1" x14ac:dyDescent="0.25">
      <c r="B137" s="96">
        <v>130</v>
      </c>
      <c r="C137" s="26" t="s">
        <v>360</v>
      </c>
      <c r="D137" s="26" t="s">
        <v>308</v>
      </c>
      <c r="E137" s="97">
        <v>197</v>
      </c>
      <c r="F137" s="98"/>
      <c r="G137" s="26" t="s">
        <v>171</v>
      </c>
      <c r="H137" s="26" t="s">
        <v>309</v>
      </c>
      <c r="I137" s="26" t="s">
        <v>356</v>
      </c>
      <c r="J137" s="26"/>
    </row>
    <row r="138" spans="2:10" ht="18.75" customHeight="1" x14ac:dyDescent="0.25">
      <c r="B138" s="93">
        <v>131</v>
      </c>
      <c r="C138" s="22" t="s">
        <v>360</v>
      </c>
      <c r="D138" s="22" t="s">
        <v>364</v>
      </c>
      <c r="E138" s="94">
        <v>90.15</v>
      </c>
      <c r="F138" s="95"/>
      <c r="G138" s="22" t="s">
        <v>167</v>
      </c>
      <c r="H138" s="22" t="s">
        <v>365</v>
      </c>
      <c r="I138" s="22" t="s">
        <v>356</v>
      </c>
      <c r="J138" s="22"/>
    </row>
    <row r="139" spans="2:10" ht="18.75" customHeight="1" x14ac:dyDescent="0.25">
      <c r="B139" s="96">
        <v>132</v>
      </c>
      <c r="C139" s="26" t="s">
        <v>360</v>
      </c>
      <c r="D139" s="26" t="s">
        <v>364</v>
      </c>
      <c r="E139" s="97">
        <v>10</v>
      </c>
      <c r="F139" s="98"/>
      <c r="G139" s="26" t="s">
        <v>167</v>
      </c>
      <c r="H139" s="26" t="s">
        <v>365</v>
      </c>
      <c r="I139" s="26" t="s">
        <v>356</v>
      </c>
      <c r="J139" s="26"/>
    </row>
    <row r="140" spans="2:10" ht="25.5" customHeight="1" x14ac:dyDescent="0.25">
      <c r="B140" s="2" t="s">
        <v>366</v>
      </c>
      <c r="C140" s="2"/>
      <c r="D140" s="2"/>
      <c r="E140" s="37">
        <f>SUM(E8:E139)</f>
        <v>49135.649999999994</v>
      </c>
      <c r="F140" s="37">
        <f>SUM(F8:F139)</f>
        <v>27990.639999999999</v>
      </c>
    </row>
  </sheetData>
  <mergeCells count="4">
    <mergeCell ref="B2:I2"/>
    <mergeCell ref="B3:I3"/>
    <mergeCell ref="B5:I5"/>
    <mergeCell ref="B140:D140"/>
  </mergeCells>
  <conditionalFormatting sqref="B8:J8">
    <cfRule type="expression" dxfId="1" priority="1">
      <formula>$L11="⚠️ Fuga"</formula>
    </cfRule>
  </conditionalFormatting>
  <dataValidations disablePrompts="1" count="2">
    <dataValidation type="list" allowBlank="1" errorTitle="Categoría inválida" error="Selecciona una categoría válida" promptTitle="Categoría" prompt="Elige la categoría del gasto" sqref="G8:G228" xr:uid="{00000000-0002-0000-0400-000000000000}">
      <formula1>"Servicio Básico,Educación/Salud,Transporte,Vivienda,Alimentación,Salud,Entretenimiento,Comunicación,Ropa/Personal,Deudas/Crédito,Ahorro,Inversión,Otros"</formula1>
      <formula2>0</formula2>
    </dataValidation>
    <dataValidation type="list" allowBlank="1" sqref="I8:I228" xr:uid="{00000000-0002-0000-0400-000001000000}">
      <formula1>"1ra Quincena,2da Quincena"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2A900"/>
  </sheetPr>
  <dimension ref="B1:R25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8.7109375" defaultRowHeight="15" x14ac:dyDescent="0.25"/>
  <cols>
    <col min="1" max="1" width="2" customWidth="1"/>
    <col min="2" max="15" width="13" customWidth="1"/>
    <col min="16" max="16" width="2" customWidth="1"/>
  </cols>
  <sheetData>
    <row r="1" spans="2:18" ht="7.5" customHeight="1" x14ac:dyDescent="0.25"/>
    <row r="2" spans="2:18" ht="49.5" customHeight="1" x14ac:dyDescent="0.25">
      <c r="B2" s="199" t="s">
        <v>367</v>
      </c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199"/>
      <c r="Q2" t="s">
        <v>11</v>
      </c>
      <c r="R2" t="s">
        <v>368</v>
      </c>
    </row>
    <row r="3" spans="2:18" ht="7.5" customHeight="1" x14ac:dyDescent="0.25">
      <c r="Q3" t="s">
        <v>164</v>
      </c>
      <c r="R3" s="119">
        <f>SUMIF('📝 Transacciones'!G8:G228,Q3,'📝 Transacciones'!E8:E228)</f>
        <v>1900</v>
      </c>
    </row>
    <row r="4" spans="2:18" ht="15.75" customHeight="1" x14ac:dyDescent="0.25">
      <c r="B4" s="200"/>
      <c r="C4" s="200"/>
      <c r="D4" s="200"/>
      <c r="E4" s="201"/>
      <c r="F4" s="201"/>
      <c r="G4" s="201"/>
      <c r="H4" s="202"/>
      <c r="I4" s="202"/>
      <c r="J4" s="202"/>
      <c r="K4" s="203"/>
      <c r="L4" s="203"/>
      <c r="M4" s="203"/>
      <c r="Q4" t="s">
        <v>166</v>
      </c>
      <c r="R4" s="119">
        <f>SUMIF('📝 Transacciones'!G8:G228,Q4,'📝 Transacciones'!E8:E228)</f>
        <v>0</v>
      </c>
    </row>
    <row r="5" spans="2:18" ht="24" customHeight="1" x14ac:dyDescent="0.25">
      <c r="B5" s="204" t="s">
        <v>369</v>
      </c>
      <c r="C5" s="204"/>
      <c r="D5" s="204"/>
      <c r="E5" s="205" t="s">
        <v>370</v>
      </c>
      <c r="F5" s="205"/>
      <c r="G5" s="205"/>
      <c r="H5" s="206" t="s">
        <v>371</v>
      </c>
      <c r="I5" s="206"/>
      <c r="J5" s="206"/>
      <c r="K5" s="207" t="s">
        <v>372</v>
      </c>
      <c r="L5" s="207"/>
      <c r="M5" s="207"/>
      <c r="Q5" t="s">
        <v>167</v>
      </c>
      <c r="R5" s="119">
        <f>SUMIF('📝 Transacciones'!G8:G228,Q5,'📝 Transacciones'!E8:E228)</f>
        <v>7956.58</v>
      </c>
    </row>
    <row r="6" spans="2:18" ht="37.5" customHeight="1" x14ac:dyDescent="0.25">
      <c r="B6" s="208">
        <f>'📝 Transacciones'!F28</f>
        <v>4600</v>
      </c>
      <c r="C6" s="208"/>
      <c r="D6" s="208"/>
      <c r="E6" s="209">
        <f>'📝 Transacciones'!E28</f>
        <v>0</v>
      </c>
      <c r="F6" s="209"/>
      <c r="G6" s="209"/>
      <c r="H6" s="210">
        <f>'📝 Transacciones'!F28-'📝 Transacciones'!E28</f>
        <v>4600</v>
      </c>
      <c r="I6" s="210"/>
      <c r="J6" s="210"/>
      <c r="K6" s="211">
        <f>IF('📝 Transacciones'!F28&gt;0,('📝 Transacciones'!F28-'📝 Transacciones'!E28)/'📝 Transacciones'!F28,0)</f>
        <v>1</v>
      </c>
      <c r="L6" s="211"/>
      <c r="M6" s="211"/>
      <c r="Q6" t="s">
        <v>169</v>
      </c>
      <c r="R6" s="119">
        <f>SUMIF('📝 Transacciones'!G8:G228,Q6,'📝 Transacciones'!E8:E228)</f>
        <v>0</v>
      </c>
    </row>
    <row r="7" spans="2:18" ht="21.75" customHeight="1" x14ac:dyDescent="0.25">
      <c r="B7" s="200"/>
      <c r="C7" s="200"/>
      <c r="D7" s="200"/>
      <c r="E7" s="201"/>
      <c r="F7" s="201"/>
      <c r="G7" s="201"/>
      <c r="H7" s="202"/>
      <c r="I7" s="202"/>
      <c r="J7" s="202"/>
      <c r="K7" s="203"/>
      <c r="L7" s="203"/>
      <c r="M7" s="203"/>
      <c r="Q7" t="s">
        <v>171</v>
      </c>
      <c r="R7" s="119">
        <f>SUMIF('📝 Transacciones'!G8:G228,Q7,'📝 Transacciones'!E8:E228)</f>
        <v>24596.06</v>
      </c>
    </row>
    <row r="8" spans="2:18" ht="9.75" customHeight="1" x14ac:dyDescent="0.25">
      <c r="Q8" t="s">
        <v>29</v>
      </c>
      <c r="R8" s="119">
        <f>SUMIF('📝 Transacciones'!G8:G228,Q8,'📝 Transacciones'!E8:E228)</f>
        <v>2649.2</v>
      </c>
    </row>
    <row r="9" spans="2:18" ht="7.5" customHeight="1" x14ac:dyDescent="0.25">
      <c r="Q9" t="s">
        <v>174</v>
      </c>
      <c r="R9" s="119">
        <f>SUMIF('📝 Transacciones'!G8:G228,Q9,'📝 Transacciones'!E8:E228)</f>
        <v>2408</v>
      </c>
    </row>
    <row r="10" spans="2:18" ht="25.5" customHeight="1" x14ac:dyDescent="0.25">
      <c r="B10" s="194" t="s">
        <v>373</v>
      </c>
      <c r="C10" s="194"/>
      <c r="D10" s="194"/>
      <c r="E10" s="194"/>
      <c r="F10" s="194"/>
      <c r="Q10" t="s">
        <v>176</v>
      </c>
      <c r="R10" s="119">
        <f>SUMIF('📝 Transacciones'!G8:G228,Q10,'📝 Transacciones'!E8:E228)</f>
        <v>758</v>
      </c>
    </row>
    <row r="11" spans="2:18" ht="21.75" customHeight="1" x14ac:dyDescent="0.25">
      <c r="B11" s="40" t="s">
        <v>11</v>
      </c>
      <c r="C11" s="40" t="s">
        <v>374</v>
      </c>
      <c r="D11" s="40" t="s">
        <v>375</v>
      </c>
      <c r="E11" s="40" t="s">
        <v>376</v>
      </c>
      <c r="F11" s="40" t="s">
        <v>377</v>
      </c>
      <c r="Q11" t="s">
        <v>178</v>
      </c>
      <c r="R11" s="119">
        <f>SUMIF('📝 Transacciones'!G8:G228,Q11,'📝 Transacciones'!E8:E228)</f>
        <v>943.24</v>
      </c>
    </row>
    <row r="12" spans="2:18" ht="21" customHeight="1" x14ac:dyDescent="0.25">
      <c r="B12" s="67" t="s">
        <v>164</v>
      </c>
      <c r="C12" s="120">
        <f>SUMIF('📝 Transacciones'!G8:G228,B12,'📝 Transacciones'!E8:E228)</f>
        <v>1900</v>
      </c>
      <c r="D12" s="121">
        <f>SUM('⚙️ Configuración'!C14:C14)+'⚙️ Configuración'!C15+'⚙️ Configuración'!C16+'⚙️ Configuración'!C20</f>
        <v>1759</v>
      </c>
      <c r="E12" s="76">
        <f t="shared" ref="E12:E25" si="0">D12-C12</f>
        <v>-141</v>
      </c>
      <c r="F12" s="122" t="str">
        <f t="shared" ref="F12:F24" si="1">IF(D12=0,"➖",IF(C12&lt;=D12,"✅ OK","⚠️ Excedido"))</f>
        <v>⚠️ Excedido</v>
      </c>
      <c r="Q12" t="s">
        <v>179</v>
      </c>
      <c r="R12" s="119">
        <f>SUMIF('📝 Transacciones'!G8:G228,Q12,'📝 Transacciones'!E8:E228)</f>
        <v>2986.28</v>
      </c>
    </row>
    <row r="13" spans="2:18" ht="21" customHeight="1" x14ac:dyDescent="0.25">
      <c r="B13" s="69" t="s">
        <v>166</v>
      </c>
      <c r="C13" s="123">
        <f>SUMIF('📝 Transacciones'!G8:G228,B13,'📝 Transacciones'!E8:E228)</f>
        <v>0</v>
      </c>
      <c r="D13" s="124">
        <f>'⚙️ Configuración'!C17</f>
        <v>4000</v>
      </c>
      <c r="E13" s="81">
        <f t="shared" si="0"/>
        <v>4000</v>
      </c>
      <c r="F13" s="125" t="str">
        <f t="shared" si="1"/>
        <v>✅ OK</v>
      </c>
      <c r="Q13" t="s">
        <v>143</v>
      </c>
      <c r="R13" s="119">
        <f>SUMIF('📝 Transacciones'!G8:G228,Q13,'📝 Transacciones'!E8:E228)</f>
        <v>0</v>
      </c>
    </row>
    <row r="14" spans="2:18" ht="21" customHeight="1" x14ac:dyDescent="0.25">
      <c r="B14" s="67" t="s">
        <v>167</v>
      </c>
      <c r="C14" s="120">
        <f>SUMIF('📝 Transacciones'!G8:G228,B14,'📝 Transacciones'!E8:E228)</f>
        <v>7956.58</v>
      </c>
      <c r="D14" s="121">
        <f>'⚙️ Configuración'!C18</f>
        <v>2000</v>
      </c>
      <c r="E14" s="76">
        <f t="shared" si="0"/>
        <v>-5956.58</v>
      </c>
      <c r="F14" s="122" t="str">
        <f t="shared" si="1"/>
        <v>⚠️ Excedido</v>
      </c>
      <c r="Q14" t="s">
        <v>144</v>
      </c>
      <c r="R14" s="119">
        <f>SUMIF('📝 Transacciones'!G8:G228,Q14,'📝 Transacciones'!E8:E228)</f>
        <v>161</v>
      </c>
    </row>
    <row r="15" spans="2:18" ht="21" customHeight="1" x14ac:dyDescent="0.25">
      <c r="B15" s="69" t="s">
        <v>169</v>
      </c>
      <c r="C15" s="123">
        <f>SUMIF('📝 Transacciones'!G8:G228,B15,'📝 Transacciones'!E8:E228)</f>
        <v>0</v>
      </c>
      <c r="D15" s="124">
        <f>'⚙️ Configuración'!C19</f>
        <v>1000</v>
      </c>
      <c r="E15" s="81">
        <f t="shared" si="0"/>
        <v>1000</v>
      </c>
      <c r="F15" s="125" t="str">
        <f t="shared" si="1"/>
        <v>✅ OK</v>
      </c>
      <c r="Q15" t="s">
        <v>185</v>
      </c>
      <c r="R15" s="119">
        <f>SUMIF('📝 Transacciones'!G8:G228,Q15,'📝 Transacciones'!E8:E228)</f>
        <v>19.989999999999998</v>
      </c>
    </row>
    <row r="16" spans="2:18" ht="21" customHeight="1" x14ac:dyDescent="0.25">
      <c r="B16" s="67" t="s">
        <v>171</v>
      </c>
      <c r="C16" s="120">
        <f>SUMIF('📝 Transacciones'!G8:G228,B16,'📝 Transacciones'!E8:E228)</f>
        <v>24596.06</v>
      </c>
      <c r="D16" s="121">
        <f>'⚙️ Configuración'!C24</f>
        <v>5000</v>
      </c>
      <c r="E16" s="76">
        <f t="shared" si="0"/>
        <v>-19596.060000000001</v>
      </c>
      <c r="F16" s="122" t="str">
        <f t="shared" si="1"/>
        <v>⚠️ Excedido</v>
      </c>
    </row>
    <row r="17" spans="2:6" ht="21" customHeight="1" x14ac:dyDescent="0.25">
      <c r="B17" s="69" t="s">
        <v>29</v>
      </c>
      <c r="C17" s="123">
        <f>SUMIF('📝 Transacciones'!G8:G228,B17,'📝 Transacciones'!E8:E228)</f>
        <v>2649.2</v>
      </c>
      <c r="D17" s="124">
        <f>'⚙️ Configuración'!C21</f>
        <v>700</v>
      </c>
      <c r="E17" s="81">
        <f t="shared" si="0"/>
        <v>-1949.1999999999998</v>
      </c>
      <c r="F17" s="125" t="str">
        <f t="shared" si="1"/>
        <v>⚠️ Excedido</v>
      </c>
    </row>
    <row r="18" spans="2:6" ht="21" customHeight="1" x14ac:dyDescent="0.25">
      <c r="B18" s="67" t="s">
        <v>174</v>
      </c>
      <c r="C18" s="120">
        <f>SUMIF('📝 Transacciones'!G8:G228,B18,'📝 Transacciones'!E8:E228)</f>
        <v>2408</v>
      </c>
      <c r="D18" s="121">
        <f>'⚙️ Configuración'!C23</f>
        <v>349</v>
      </c>
      <c r="E18" s="76">
        <f t="shared" si="0"/>
        <v>-2059</v>
      </c>
      <c r="F18" s="122" t="str">
        <f t="shared" si="1"/>
        <v>⚠️ Excedido</v>
      </c>
    </row>
    <row r="19" spans="2:6" ht="21" customHeight="1" x14ac:dyDescent="0.25">
      <c r="B19" s="69" t="s">
        <v>176</v>
      </c>
      <c r="C19" s="123">
        <f>SUMIF('📝 Transacciones'!G8:G228,B19,'📝 Transacciones'!E8:E228)</f>
        <v>758</v>
      </c>
      <c r="D19" s="124">
        <f>'⚙️ Configuración'!C22</f>
        <v>720</v>
      </c>
      <c r="E19" s="81">
        <f t="shared" si="0"/>
        <v>-38</v>
      </c>
      <c r="F19" s="125" t="str">
        <f t="shared" si="1"/>
        <v>⚠️ Excedido</v>
      </c>
    </row>
    <row r="20" spans="2:6" ht="21" customHeight="1" x14ac:dyDescent="0.25">
      <c r="B20" s="67" t="s">
        <v>178</v>
      </c>
      <c r="C20" s="120">
        <f>SUMIF('📝 Transacciones'!G8:G228,B20,'📝 Transacciones'!E8:E228)</f>
        <v>943.24</v>
      </c>
      <c r="D20" s="121">
        <v>0</v>
      </c>
      <c r="E20" s="76">
        <f t="shared" si="0"/>
        <v>-943.24</v>
      </c>
      <c r="F20" s="122" t="str">
        <f t="shared" si="1"/>
        <v>➖</v>
      </c>
    </row>
    <row r="21" spans="2:6" ht="21" customHeight="1" x14ac:dyDescent="0.25">
      <c r="B21" s="69" t="s">
        <v>179</v>
      </c>
      <c r="C21" s="123">
        <f>SUMIF('📝 Transacciones'!G8:G228,B21,'📝 Transacciones'!E8:E228)</f>
        <v>2986.28</v>
      </c>
      <c r="D21" s="124">
        <v>0</v>
      </c>
      <c r="E21" s="81">
        <f t="shared" si="0"/>
        <v>-2986.28</v>
      </c>
      <c r="F21" s="125" t="str">
        <f t="shared" si="1"/>
        <v>➖</v>
      </c>
    </row>
    <row r="22" spans="2:6" ht="21" customHeight="1" x14ac:dyDescent="0.25">
      <c r="B22" s="67" t="s">
        <v>143</v>
      </c>
      <c r="C22" s="120">
        <f>SUMIF('📝 Transacciones'!G8:G228,B22,'📝 Transacciones'!E8:E228)</f>
        <v>0</v>
      </c>
      <c r="D22" s="121">
        <f>'⚙️ Configuración'!C7*'⚙️ Configuración'!C8</f>
        <v>3100</v>
      </c>
      <c r="E22" s="76">
        <f t="shared" si="0"/>
        <v>3100</v>
      </c>
      <c r="F22" s="122" t="str">
        <f t="shared" si="1"/>
        <v>✅ OK</v>
      </c>
    </row>
    <row r="23" spans="2:6" ht="21" customHeight="1" x14ac:dyDescent="0.25">
      <c r="B23" s="69" t="s">
        <v>144</v>
      </c>
      <c r="C23" s="123">
        <f>SUMIF('📝 Transacciones'!G8:G228,B23,'📝 Transacciones'!E8:E228)</f>
        <v>161</v>
      </c>
      <c r="D23" s="124">
        <f>'⚙️ Configuración'!C7*'⚙️ Configuración'!C9</f>
        <v>1550</v>
      </c>
      <c r="E23" s="81">
        <f t="shared" si="0"/>
        <v>1389</v>
      </c>
      <c r="F23" s="125" t="str">
        <f t="shared" si="1"/>
        <v>✅ OK</v>
      </c>
    </row>
    <row r="24" spans="2:6" ht="21" customHeight="1" x14ac:dyDescent="0.25">
      <c r="B24" s="67" t="s">
        <v>185</v>
      </c>
      <c r="C24" s="120">
        <f>SUMIF('📝 Transacciones'!G8:G228,B24,'📝 Transacciones'!E8:E228)</f>
        <v>19.989999999999998</v>
      </c>
      <c r="D24" s="121">
        <f>'⚙️ Configuración'!C25</f>
        <v>1800</v>
      </c>
      <c r="E24" s="76">
        <f t="shared" si="0"/>
        <v>1780.01</v>
      </c>
      <c r="F24" s="122" t="str">
        <f t="shared" si="1"/>
        <v>✅ OK</v>
      </c>
    </row>
    <row r="25" spans="2:6" ht="25.5" customHeight="1" x14ac:dyDescent="0.25">
      <c r="B25" s="36" t="s">
        <v>104</v>
      </c>
      <c r="C25" s="37">
        <f>SUM(C12:C24)</f>
        <v>44378.349999999991</v>
      </c>
      <c r="D25" s="37">
        <f>SUM(D12:D24)</f>
        <v>21978</v>
      </c>
      <c r="E25" s="37">
        <f t="shared" si="0"/>
        <v>-22400.349999999991</v>
      </c>
      <c r="F25" s="126"/>
    </row>
  </sheetData>
  <mergeCells count="18">
    <mergeCell ref="B7:D7"/>
    <mergeCell ref="E7:G7"/>
    <mergeCell ref="H7:J7"/>
    <mergeCell ref="K7:M7"/>
    <mergeCell ref="B10:F10"/>
    <mergeCell ref="B5:D5"/>
    <mergeCell ref="E5:G5"/>
    <mergeCell ref="H5:J5"/>
    <mergeCell ref="K5:M5"/>
    <mergeCell ref="B6:D6"/>
    <mergeCell ref="E6:G6"/>
    <mergeCell ref="H6:J6"/>
    <mergeCell ref="K6:M6"/>
    <mergeCell ref="B2:O2"/>
    <mergeCell ref="B4:D4"/>
    <mergeCell ref="E4:G4"/>
    <mergeCell ref="H4:J4"/>
    <mergeCell ref="K4:M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7AE60"/>
  </sheetPr>
  <dimension ref="B1:J48"/>
  <sheetViews>
    <sheetView showGridLines="0" topLeftCell="A24" zoomScaleNormal="100" workbookViewId="0">
      <selection activeCell="C48" sqref="C48"/>
    </sheetView>
  </sheetViews>
  <sheetFormatPr baseColWidth="10" defaultColWidth="8.7109375" defaultRowHeight="15" x14ac:dyDescent="0.25"/>
  <cols>
    <col min="1" max="1" width="2" customWidth="1"/>
    <col min="2" max="2" width="28.28515625" customWidth="1"/>
    <col min="3" max="3" width="11.42578125" customWidth="1"/>
    <col min="4" max="11" width="16" customWidth="1"/>
  </cols>
  <sheetData>
    <row r="1" spans="2:10" ht="9.75" customHeight="1" x14ac:dyDescent="0.25"/>
    <row r="2" spans="2:10" ht="45" customHeight="1" x14ac:dyDescent="0.25">
      <c r="B2" s="212" t="s">
        <v>378</v>
      </c>
      <c r="C2" s="212"/>
      <c r="D2" s="212"/>
      <c r="E2" s="212"/>
      <c r="F2" s="212"/>
      <c r="G2" s="212"/>
      <c r="H2" s="212"/>
      <c r="I2" s="212"/>
      <c r="J2" s="212"/>
    </row>
    <row r="3" spans="2:10" ht="9.75" customHeight="1" x14ac:dyDescent="0.25"/>
    <row r="4" spans="2:10" ht="25.5" customHeight="1" x14ac:dyDescent="0.25">
      <c r="B4" s="193" t="s">
        <v>379</v>
      </c>
      <c r="C4" s="193"/>
      <c r="D4" s="193"/>
      <c r="E4" s="193"/>
    </row>
    <row r="5" spans="2:10" ht="21.75" customHeight="1" x14ac:dyDescent="0.25">
      <c r="B5" s="67" t="s">
        <v>380</v>
      </c>
      <c r="C5" s="76">
        <f>'⚙️ Configuración'!C7*'⚙️ Configuración'!C8</f>
        <v>3100</v>
      </c>
    </row>
    <row r="6" spans="2:10" ht="21.75" customHeight="1" x14ac:dyDescent="0.25">
      <c r="B6" s="69" t="s">
        <v>381</v>
      </c>
      <c r="C6" s="81">
        <f>'⚙️ Configuración'!C7*'⚙️ Configuración'!C9</f>
        <v>1550</v>
      </c>
    </row>
    <row r="7" spans="2:10" ht="21.75" customHeight="1" x14ac:dyDescent="0.25">
      <c r="B7" s="67" t="s">
        <v>382</v>
      </c>
      <c r="C7" s="127">
        <v>0.1</v>
      </c>
    </row>
    <row r="8" spans="2:10" ht="21.75" customHeight="1" x14ac:dyDescent="0.25">
      <c r="B8" s="69" t="s">
        <v>383</v>
      </c>
      <c r="C8" s="128">
        <v>10</v>
      </c>
    </row>
    <row r="9" spans="2:10" ht="21.75" customHeight="1" x14ac:dyDescent="0.25">
      <c r="B9" s="67" t="s">
        <v>384</v>
      </c>
      <c r="C9" s="76">
        <f>'⚙️ Configuración'!C7*2*'⚙️ Configuración'!C10</f>
        <v>186000</v>
      </c>
    </row>
    <row r="10" spans="2:10" ht="12" customHeight="1" x14ac:dyDescent="0.25"/>
    <row r="11" spans="2:10" ht="25.5" customHeight="1" x14ac:dyDescent="0.25">
      <c r="B11" s="195" t="s">
        <v>385</v>
      </c>
      <c r="C11" s="195"/>
      <c r="D11" s="195"/>
      <c r="E11" s="195"/>
      <c r="F11" s="195"/>
      <c r="G11" s="195"/>
      <c r="H11" s="195"/>
      <c r="I11" s="195"/>
    </row>
    <row r="12" spans="2:10" ht="30" customHeight="1" x14ac:dyDescent="0.25">
      <c r="B12" s="73" t="s">
        <v>108</v>
      </c>
      <c r="C12" s="73" t="s">
        <v>386</v>
      </c>
      <c r="D12" s="73" t="s">
        <v>387</v>
      </c>
      <c r="E12" s="73" t="s">
        <v>388</v>
      </c>
      <c r="F12" s="73" t="s">
        <v>389</v>
      </c>
      <c r="G12" s="73" t="s">
        <v>148</v>
      </c>
      <c r="H12" s="73" t="s">
        <v>149</v>
      </c>
      <c r="I12" s="73" t="s">
        <v>390</v>
      </c>
    </row>
    <row r="13" spans="2:10" ht="19.5" customHeight="1" x14ac:dyDescent="0.25">
      <c r="B13" s="125">
        <v>1</v>
      </c>
      <c r="C13" s="81">
        <f t="shared" ref="C13:C24" si="0">$C$5</f>
        <v>3100</v>
      </c>
      <c r="D13" s="81">
        <f t="shared" ref="D13:D24" si="1">$C$6</f>
        <v>1550</v>
      </c>
      <c r="E13" s="81">
        <f t="shared" ref="E13:E24" si="2">(C$5+C$6)*B13</f>
        <v>4650</v>
      </c>
      <c r="F13" s="129">
        <f>$C$5*(POWER(1+$C$7,1/12)-1)+$C$6*(POWER(1+$C$7,1/12)-1)</f>
        <v>37.079752994402504</v>
      </c>
      <c r="G13" s="81">
        <f>$C$5*(1+(1+$C$7)^(1/12)-1)</f>
        <v>3124.7198353296026</v>
      </c>
      <c r="H13" s="81">
        <f>$C$6*(1+(1+$C$7)^(1/12)-1)</f>
        <v>1562.3599176648013</v>
      </c>
      <c r="I13" s="81">
        <f t="shared" ref="I13:I24" si="3">G13+H13</f>
        <v>4687.0797529944039</v>
      </c>
    </row>
    <row r="14" spans="2:10" ht="19.5" customHeight="1" x14ac:dyDescent="0.25">
      <c r="B14" s="122">
        <v>2</v>
      </c>
      <c r="C14" s="76">
        <f t="shared" si="0"/>
        <v>3100</v>
      </c>
      <c r="D14" s="76">
        <f t="shared" si="1"/>
        <v>1550</v>
      </c>
      <c r="E14" s="76">
        <f t="shared" si="2"/>
        <v>9300</v>
      </c>
      <c r="F14" s="129">
        <f t="shared" ref="F14:F24" si="4">(G13+H13+$C$5+$C$6)*(POWER(1+$C$7,1/12)-1)</f>
        <v>74.455185146251438</v>
      </c>
      <c r="G14" s="76">
        <f t="shared" ref="G14:G24" si="5">(G13+$C$5)*(1+(1+$C$7)^(1/12)-1)+G13+$C$5</f>
        <v>12499.076460756707</v>
      </c>
      <c r="H14" s="76">
        <f t="shared" ref="H14:H24" si="6">(H13+$C$6)*(1+(1+$C$7)^(1/12)-1)+H13+$C$6</f>
        <v>6249.5382303783535</v>
      </c>
      <c r="I14" s="76">
        <f t="shared" si="3"/>
        <v>18748.614691135059</v>
      </c>
    </row>
    <row r="15" spans="2:10" ht="19.5" customHeight="1" x14ac:dyDescent="0.25">
      <c r="B15" s="125">
        <v>3</v>
      </c>
      <c r="C15" s="81">
        <f t="shared" si="0"/>
        <v>3100</v>
      </c>
      <c r="D15" s="81">
        <f t="shared" si="1"/>
        <v>1550</v>
      </c>
      <c r="E15" s="81">
        <f t="shared" si="2"/>
        <v>13950</v>
      </c>
      <c r="F15" s="129">
        <f t="shared" si="4"/>
        <v>186.58383938892163</v>
      </c>
      <c r="G15" s="81">
        <f t="shared" si="5"/>
        <v>31322.5421477727</v>
      </c>
      <c r="H15" s="81">
        <f t="shared" si="6"/>
        <v>15661.27107388635</v>
      </c>
      <c r="I15" s="81">
        <f t="shared" si="3"/>
        <v>46983.813221659046</v>
      </c>
    </row>
    <row r="16" spans="2:10" ht="19.5" customHeight="1" x14ac:dyDescent="0.25">
      <c r="B16" s="122">
        <v>4</v>
      </c>
      <c r="C16" s="76">
        <f t="shared" si="0"/>
        <v>3100</v>
      </c>
      <c r="D16" s="76">
        <f t="shared" si="1"/>
        <v>1550</v>
      </c>
      <c r="E16" s="76">
        <f t="shared" si="2"/>
        <v>18600</v>
      </c>
      <c r="F16" s="129">
        <f t="shared" si="4"/>
        <v>411.73527750929713</v>
      </c>
      <c r="G16" s="76">
        <f t="shared" si="5"/>
        <v>69119.574480551615</v>
      </c>
      <c r="H16" s="76">
        <f t="shared" si="6"/>
        <v>34559.787240275808</v>
      </c>
      <c r="I16" s="76">
        <f t="shared" si="3"/>
        <v>103679.36172082742</v>
      </c>
    </row>
    <row r="17" spans="2:9" ht="19.5" customHeight="1" x14ac:dyDescent="0.25">
      <c r="B17" s="125">
        <v>5</v>
      </c>
      <c r="C17" s="81">
        <f t="shared" si="0"/>
        <v>3100</v>
      </c>
      <c r="D17" s="81">
        <f t="shared" si="1"/>
        <v>1550</v>
      </c>
      <c r="E17" s="81">
        <f t="shared" si="2"/>
        <v>23250</v>
      </c>
      <c r="F17" s="129">
        <f t="shared" si="4"/>
        <v>863.8335429353898</v>
      </c>
      <c r="G17" s="81">
        <f t="shared" si="5"/>
        <v>145015.03798972684</v>
      </c>
      <c r="H17" s="81">
        <f t="shared" si="6"/>
        <v>72507.518994863422</v>
      </c>
      <c r="I17" s="81">
        <f t="shared" si="3"/>
        <v>217522.55698459025</v>
      </c>
    </row>
    <row r="18" spans="2:9" ht="19.5" customHeight="1" x14ac:dyDescent="0.25">
      <c r="B18" s="122">
        <v>6</v>
      </c>
      <c r="C18" s="76">
        <f t="shared" si="0"/>
        <v>3100</v>
      </c>
      <c r="D18" s="76">
        <f t="shared" si="1"/>
        <v>1550</v>
      </c>
      <c r="E18" s="76">
        <f t="shared" si="2"/>
        <v>27900</v>
      </c>
      <c r="F18" s="129">
        <f t="shared" si="4"/>
        <v>1771.6351688437464</v>
      </c>
      <c r="G18" s="76">
        <f t="shared" si="5"/>
        <v>297411.16609201621</v>
      </c>
      <c r="H18" s="76">
        <f t="shared" si="6"/>
        <v>148705.58304600811</v>
      </c>
      <c r="I18" s="76">
        <f t="shared" si="3"/>
        <v>446116.74913802429</v>
      </c>
    </row>
    <row r="19" spans="2:9" ht="19.5" customHeight="1" x14ac:dyDescent="0.25">
      <c r="B19" s="125">
        <v>7</v>
      </c>
      <c r="C19" s="81">
        <f t="shared" si="0"/>
        <v>3100</v>
      </c>
      <c r="D19" s="81">
        <f t="shared" si="1"/>
        <v>1550</v>
      </c>
      <c r="E19" s="81">
        <f t="shared" si="2"/>
        <v>32550</v>
      </c>
      <c r="F19" s="129">
        <f t="shared" si="4"/>
        <v>3594.4773583070405</v>
      </c>
      <c r="G19" s="81">
        <f t="shared" si="5"/>
        <v>603418.65042290383</v>
      </c>
      <c r="H19" s="81">
        <f t="shared" si="6"/>
        <v>301709.32521145191</v>
      </c>
      <c r="I19" s="81">
        <f t="shared" si="3"/>
        <v>905127.9756343558</v>
      </c>
    </row>
    <row r="20" spans="2:9" ht="19.5" customHeight="1" x14ac:dyDescent="0.25">
      <c r="B20" s="122">
        <v>8</v>
      </c>
      <c r="C20" s="76">
        <f t="shared" si="0"/>
        <v>3100</v>
      </c>
      <c r="D20" s="76">
        <f t="shared" si="1"/>
        <v>1550</v>
      </c>
      <c r="E20" s="76">
        <f t="shared" si="2"/>
        <v>37200</v>
      </c>
      <c r="F20" s="129">
        <f t="shared" si="4"/>
        <v>7254.6973368321405</v>
      </c>
      <c r="G20" s="76">
        <f t="shared" si="5"/>
        <v>1217873.7657370293</v>
      </c>
      <c r="H20" s="76">
        <f t="shared" si="6"/>
        <v>608936.88286851463</v>
      </c>
      <c r="I20" s="76">
        <f t="shared" si="3"/>
        <v>1826810.6486055439</v>
      </c>
    </row>
    <row r="21" spans="2:9" ht="19.5" customHeight="1" x14ac:dyDescent="0.25">
      <c r="B21" s="125">
        <v>9</v>
      </c>
      <c r="C21" s="81">
        <f t="shared" si="0"/>
        <v>3100</v>
      </c>
      <c r="D21" s="81">
        <f t="shared" si="1"/>
        <v>1550</v>
      </c>
      <c r="E21" s="81">
        <f t="shared" si="2"/>
        <v>41850</v>
      </c>
      <c r="F21" s="129">
        <f t="shared" si="4"/>
        <v>14604.324401991778</v>
      </c>
      <c r="G21" s="81">
        <f t="shared" si="5"/>
        <v>2451683.7477420531</v>
      </c>
      <c r="H21" s="81">
        <f t="shared" si="6"/>
        <v>1225841.8738710266</v>
      </c>
      <c r="I21" s="81">
        <f t="shared" si="3"/>
        <v>3677525.6216130797</v>
      </c>
    </row>
    <row r="22" spans="2:9" ht="19.5" customHeight="1" x14ac:dyDescent="0.25">
      <c r="B22" s="122">
        <v>10</v>
      </c>
      <c r="C22" s="76">
        <f t="shared" si="0"/>
        <v>3100</v>
      </c>
      <c r="D22" s="76">
        <f t="shared" si="1"/>
        <v>1550</v>
      </c>
      <c r="E22" s="76">
        <f t="shared" si="2"/>
        <v>46500</v>
      </c>
      <c r="F22" s="129">
        <f t="shared" si="4"/>
        <v>29362.185490628708</v>
      </c>
      <c r="G22" s="76">
        <f t="shared" si="5"/>
        <v>4929142.2858111933</v>
      </c>
      <c r="H22" s="76">
        <f t="shared" si="6"/>
        <v>2464571.1429055966</v>
      </c>
      <c r="I22" s="76">
        <f t="shared" si="3"/>
        <v>7393713.4287167899</v>
      </c>
    </row>
    <row r="23" spans="2:9" ht="19.5" customHeight="1" x14ac:dyDescent="0.25">
      <c r="B23" s="125">
        <v>11</v>
      </c>
      <c r="C23" s="81">
        <f t="shared" si="0"/>
        <v>3100</v>
      </c>
      <c r="D23" s="81">
        <f t="shared" si="1"/>
        <v>1550</v>
      </c>
      <c r="E23" s="81">
        <f t="shared" si="2"/>
        <v>51150</v>
      </c>
      <c r="F23" s="129">
        <f t="shared" si="4"/>
        <v>58995.588924653624</v>
      </c>
      <c r="G23" s="81">
        <f t="shared" si="5"/>
        <v>9903814.9642388225</v>
      </c>
      <c r="H23" s="81">
        <f t="shared" si="6"/>
        <v>4951907.4821194112</v>
      </c>
      <c r="I23" s="81">
        <f t="shared" si="3"/>
        <v>14855722.446358234</v>
      </c>
    </row>
    <row r="24" spans="2:9" ht="19.5" customHeight="1" x14ac:dyDescent="0.25">
      <c r="B24" s="122">
        <v>12</v>
      </c>
      <c r="C24" s="76">
        <f t="shared" si="0"/>
        <v>3100</v>
      </c>
      <c r="D24" s="76">
        <f t="shared" si="1"/>
        <v>1550</v>
      </c>
      <c r="E24" s="76">
        <f t="shared" si="2"/>
        <v>55800</v>
      </c>
      <c r="F24" s="129">
        <f t="shared" si="4"/>
        <v>118498.69671307273</v>
      </c>
      <c r="G24" s="76">
        <f t="shared" si="5"/>
        <v>19892829.059619695</v>
      </c>
      <c r="H24" s="76">
        <f t="shared" si="6"/>
        <v>9946414.5298098475</v>
      </c>
      <c r="I24" s="130">
        <f t="shared" si="3"/>
        <v>29839243.589429542</v>
      </c>
    </row>
    <row r="44" spans="2:5" ht="25.5" customHeight="1" x14ac:dyDescent="0.25">
      <c r="B44" s="213" t="s">
        <v>391</v>
      </c>
      <c r="C44" s="213"/>
      <c r="D44" s="213"/>
      <c r="E44" s="213"/>
    </row>
    <row r="45" spans="2:5" ht="21.75" customHeight="1" x14ac:dyDescent="0.25">
      <c r="B45" s="67" t="s">
        <v>392</v>
      </c>
      <c r="C45" s="76">
        <f>'⚙️ Configuración'!C7*2*'⚙️ Configuración'!C10</f>
        <v>186000</v>
      </c>
    </row>
    <row r="46" spans="2:5" ht="21.75" customHeight="1" x14ac:dyDescent="0.25">
      <c r="B46" s="69" t="s">
        <v>393</v>
      </c>
      <c r="C46" s="70">
        <v>0</v>
      </c>
    </row>
    <row r="47" spans="2:5" ht="21.75" customHeight="1" x14ac:dyDescent="0.25">
      <c r="B47" s="67" t="s">
        <v>394</v>
      </c>
      <c r="C47" s="131">
        <f>IF(C46&gt;0,C46/C45,0)</f>
        <v>0</v>
      </c>
    </row>
    <row r="48" spans="2:5" ht="21.75" customHeight="1" x14ac:dyDescent="0.25">
      <c r="B48" s="69" t="s">
        <v>395</v>
      </c>
      <c r="C48" s="132">
        <f>IF(C5&gt;0,MAX(0,(C45-C46)/C5),0)</f>
        <v>60</v>
      </c>
    </row>
  </sheetData>
  <mergeCells count="4">
    <mergeCell ref="B2:J2"/>
    <mergeCell ref="B4:E4"/>
    <mergeCell ref="B11:I11"/>
    <mergeCell ref="B44:E4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6B6B"/>
  </sheetPr>
  <dimension ref="B1:C35"/>
  <sheetViews>
    <sheetView showGridLines="0" topLeftCell="A9" zoomScaleNormal="100" workbookViewId="0">
      <selection activeCell="B26" sqref="B26"/>
    </sheetView>
  </sheetViews>
  <sheetFormatPr baseColWidth="10" defaultColWidth="8.7109375" defaultRowHeight="15" x14ac:dyDescent="0.25"/>
  <cols>
    <col min="1" max="1" width="2" customWidth="1"/>
    <col min="2" max="2" width="18" customWidth="1"/>
    <col min="3" max="3" width="55" customWidth="1"/>
    <col min="4" max="4" width="2" customWidth="1"/>
  </cols>
  <sheetData>
    <row r="1" spans="2:3" ht="9.75" customHeight="1" x14ac:dyDescent="0.25"/>
    <row r="2" spans="2:3" ht="45" customHeight="1" x14ac:dyDescent="0.25">
      <c r="B2" s="214" t="s">
        <v>396</v>
      </c>
      <c r="C2" s="214"/>
    </row>
    <row r="4" spans="2:3" ht="13.5" customHeight="1" x14ac:dyDescent="0.25"/>
    <row r="5" spans="2:3" ht="25.5" customHeight="1" x14ac:dyDescent="0.25">
      <c r="B5" s="88" t="s">
        <v>397</v>
      </c>
      <c r="C5" s="133" t="s">
        <v>398</v>
      </c>
    </row>
    <row r="6" spans="2:3" ht="18" customHeight="1" x14ac:dyDescent="0.25">
      <c r="B6" s="215" t="s">
        <v>399</v>
      </c>
      <c r="C6" s="215"/>
    </row>
    <row r="7" spans="2:3" ht="18" customHeight="1" x14ac:dyDescent="0.25">
      <c r="B7" s="216" t="s">
        <v>400</v>
      </c>
      <c r="C7" s="216"/>
    </row>
    <row r="8" spans="2:3" ht="18" customHeight="1" x14ac:dyDescent="0.25">
      <c r="B8" s="215" t="s">
        <v>401</v>
      </c>
      <c r="C8" s="215"/>
    </row>
    <row r="9" spans="2:3" ht="18" customHeight="1" x14ac:dyDescent="0.25">
      <c r="B9" s="216" t="s">
        <v>402</v>
      </c>
      <c r="C9" s="216"/>
    </row>
    <row r="10" spans="2:3" ht="13.5" customHeight="1" x14ac:dyDescent="0.25"/>
    <row r="11" spans="2:3" ht="25.5" customHeight="1" x14ac:dyDescent="0.25">
      <c r="B11" s="88" t="s">
        <v>403</v>
      </c>
      <c r="C11" s="133" t="s">
        <v>404</v>
      </c>
    </row>
    <row r="12" spans="2:3" ht="18" customHeight="1" x14ac:dyDescent="0.25">
      <c r="B12" s="215" t="s">
        <v>405</v>
      </c>
      <c r="C12" s="215"/>
    </row>
    <row r="13" spans="2:3" ht="18" customHeight="1" x14ac:dyDescent="0.25">
      <c r="B13" s="216" t="s">
        <v>406</v>
      </c>
      <c r="C13" s="216"/>
    </row>
    <row r="14" spans="2:3" ht="18" customHeight="1" x14ac:dyDescent="0.25">
      <c r="B14" s="215" t="s">
        <v>407</v>
      </c>
      <c r="C14" s="215"/>
    </row>
    <row r="15" spans="2:3" ht="18" customHeight="1" x14ac:dyDescent="0.25">
      <c r="B15" s="216" t="s">
        <v>408</v>
      </c>
      <c r="C15" s="216"/>
    </row>
    <row r="16" spans="2:3" ht="18" customHeight="1" x14ac:dyDescent="0.25">
      <c r="B16" s="215" t="s">
        <v>409</v>
      </c>
      <c r="C16" s="215"/>
    </row>
    <row r="17" spans="2:3" ht="18" customHeight="1" x14ac:dyDescent="0.25">
      <c r="B17" s="216" t="s">
        <v>410</v>
      </c>
      <c r="C17" s="216"/>
    </row>
    <row r="18" spans="2:3" ht="13.5" customHeight="1" x14ac:dyDescent="0.25"/>
    <row r="19" spans="2:3" ht="25.5" customHeight="1" x14ac:dyDescent="0.25">
      <c r="B19" s="88" t="s">
        <v>411</v>
      </c>
      <c r="C19" s="133" t="s">
        <v>412</v>
      </c>
    </row>
    <row r="20" spans="2:3" ht="18" customHeight="1" x14ac:dyDescent="0.25">
      <c r="B20" s="215" t="s">
        <v>413</v>
      </c>
      <c r="C20" s="215"/>
    </row>
    <row r="21" spans="2:3" ht="18" customHeight="1" x14ac:dyDescent="0.25">
      <c r="B21" s="216" t="s">
        <v>414</v>
      </c>
      <c r="C21" s="216"/>
    </row>
    <row r="22" spans="2:3" ht="18" customHeight="1" x14ac:dyDescent="0.25">
      <c r="B22" s="215" t="s">
        <v>415</v>
      </c>
      <c r="C22" s="215"/>
    </row>
    <row r="23" spans="2:3" ht="18" customHeight="1" x14ac:dyDescent="0.25">
      <c r="B23" s="216" t="s">
        <v>416</v>
      </c>
      <c r="C23" s="216"/>
    </row>
    <row r="24" spans="2:3" ht="13.5" customHeight="1" x14ac:dyDescent="0.25"/>
    <row r="25" spans="2:3" ht="25.5" customHeight="1" x14ac:dyDescent="0.25">
      <c r="B25" s="88" t="s">
        <v>417</v>
      </c>
      <c r="C25" s="133" t="s">
        <v>418</v>
      </c>
    </row>
    <row r="26" spans="2:3" ht="18" customHeight="1" x14ac:dyDescent="0.25">
      <c r="B26" s="215" t="s">
        <v>419</v>
      </c>
      <c r="C26" s="215"/>
    </row>
    <row r="27" spans="2:3" ht="18" customHeight="1" x14ac:dyDescent="0.25">
      <c r="B27" s="216" t="s">
        <v>420</v>
      </c>
      <c r="C27" s="216"/>
    </row>
    <row r="28" spans="2:3" ht="18" customHeight="1" x14ac:dyDescent="0.25">
      <c r="B28" s="215" t="s">
        <v>421</v>
      </c>
      <c r="C28" s="215"/>
    </row>
    <row r="29" spans="2:3" ht="18" customHeight="1" x14ac:dyDescent="0.25">
      <c r="B29" s="216" t="s">
        <v>422</v>
      </c>
      <c r="C29" s="216"/>
    </row>
    <row r="30" spans="2:3" ht="13.5" customHeight="1" x14ac:dyDescent="0.25"/>
    <row r="31" spans="2:3" ht="25.5" customHeight="1" x14ac:dyDescent="0.25">
      <c r="B31" s="88" t="s">
        <v>423</v>
      </c>
      <c r="C31" s="133" t="s">
        <v>424</v>
      </c>
    </row>
    <row r="32" spans="2:3" ht="18" customHeight="1" x14ac:dyDescent="0.25">
      <c r="B32" s="215" t="s">
        <v>425</v>
      </c>
      <c r="C32" s="215"/>
    </row>
    <row r="33" spans="2:3" ht="18" customHeight="1" x14ac:dyDescent="0.25">
      <c r="B33" s="216" t="s">
        <v>426</v>
      </c>
      <c r="C33" s="216"/>
    </row>
    <row r="34" spans="2:3" ht="18" customHeight="1" x14ac:dyDescent="0.25">
      <c r="B34" s="215" t="s">
        <v>427</v>
      </c>
      <c r="C34" s="215"/>
    </row>
    <row r="35" spans="2:3" ht="18" customHeight="1" x14ac:dyDescent="0.25">
      <c r="B35" s="216" t="s">
        <v>428</v>
      </c>
      <c r="C35" s="216"/>
    </row>
  </sheetData>
  <mergeCells count="23">
    <mergeCell ref="B33:C33"/>
    <mergeCell ref="B34:C34"/>
    <mergeCell ref="B35:C35"/>
    <mergeCell ref="B26:C26"/>
    <mergeCell ref="B27:C27"/>
    <mergeCell ref="B28:C28"/>
    <mergeCell ref="B29:C29"/>
    <mergeCell ref="B32:C32"/>
    <mergeCell ref="B17:C17"/>
    <mergeCell ref="B20:C20"/>
    <mergeCell ref="B21:C21"/>
    <mergeCell ref="B22:C22"/>
    <mergeCell ref="B23:C23"/>
    <mergeCell ref="B12:C12"/>
    <mergeCell ref="B13:C13"/>
    <mergeCell ref="B14:C14"/>
    <mergeCell ref="B15:C15"/>
    <mergeCell ref="B16:C16"/>
    <mergeCell ref="B2:C2"/>
    <mergeCell ref="B6:C6"/>
    <mergeCell ref="B7:C7"/>
    <mergeCell ref="B8:C8"/>
    <mergeCell ref="B9:C9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74C3C"/>
  </sheetPr>
  <dimension ref="B1:K82"/>
  <sheetViews>
    <sheetView showGridLines="0" zoomScaleNormal="100" workbookViewId="0">
      <pane xSplit="2" ySplit="7" topLeftCell="C68" activePane="bottomRight" state="frozen"/>
      <selection pane="topRight" activeCell="C1" sqref="C1"/>
      <selection pane="bottomLeft" activeCell="A68" sqref="A68"/>
      <selection pane="bottomRight"/>
    </sheetView>
  </sheetViews>
  <sheetFormatPr baseColWidth="10" defaultColWidth="8.7109375" defaultRowHeight="15" x14ac:dyDescent="0.25"/>
  <cols>
    <col min="1" max="1" width="4" customWidth="1"/>
    <col min="2" max="3" width="14" customWidth="1"/>
    <col min="4" max="4" width="42" customWidth="1"/>
    <col min="5" max="6" width="16" customWidth="1"/>
    <col min="7" max="7" width="22" customWidth="1"/>
    <col min="8" max="8" width="20" customWidth="1"/>
    <col min="9" max="9" width="14" customWidth="1"/>
    <col min="10" max="10" width="30" customWidth="1"/>
    <col min="11" max="11" width="4" customWidth="1"/>
  </cols>
  <sheetData>
    <row r="1" spans="2:11" ht="7.5" customHeight="1" x14ac:dyDescent="0.25"/>
    <row r="2" spans="2:11" ht="48" customHeight="1" x14ac:dyDescent="0.25">
      <c r="B2" s="217" t="s">
        <v>429</v>
      </c>
      <c r="C2" s="217"/>
      <c r="D2" s="217"/>
      <c r="E2" s="217"/>
      <c r="F2" s="217"/>
      <c r="G2" s="217"/>
      <c r="H2" s="217"/>
      <c r="I2" s="217"/>
      <c r="J2" s="217"/>
    </row>
    <row r="3" spans="2:11" ht="21.75" customHeight="1" x14ac:dyDescent="0.25">
      <c r="B3" s="12" t="s">
        <v>430</v>
      </c>
      <c r="C3" s="12"/>
      <c r="D3" s="12"/>
      <c r="E3" s="12"/>
      <c r="F3" s="12"/>
      <c r="G3" s="12"/>
      <c r="H3" s="12"/>
      <c r="I3" s="12"/>
      <c r="J3" s="12"/>
    </row>
    <row r="4" spans="2:11" ht="7.5" customHeight="1" x14ac:dyDescent="0.25"/>
    <row r="5" spans="2:11" ht="31.5" customHeight="1" x14ac:dyDescent="0.25">
      <c r="B5" s="218" t="s">
        <v>431</v>
      </c>
      <c r="C5" s="218"/>
      <c r="D5" s="219" t="s">
        <v>432</v>
      </c>
      <c r="E5" s="219"/>
      <c r="F5" s="2" t="s">
        <v>433</v>
      </c>
      <c r="G5" s="2"/>
      <c r="H5" s="220" t="s">
        <v>434</v>
      </c>
      <c r="I5" s="220"/>
    </row>
    <row r="6" spans="2:11" ht="9.75" customHeight="1" x14ac:dyDescent="0.25"/>
    <row r="7" spans="2:11" ht="25.5" customHeight="1" x14ac:dyDescent="0.25">
      <c r="B7" s="21" t="s">
        <v>207</v>
      </c>
      <c r="C7" s="21" t="s">
        <v>435</v>
      </c>
      <c r="D7" s="21" t="s">
        <v>436</v>
      </c>
      <c r="E7" s="21" t="s">
        <v>437</v>
      </c>
      <c r="F7" s="21" t="s">
        <v>210</v>
      </c>
      <c r="G7" s="21" t="s">
        <v>211</v>
      </c>
      <c r="H7" s="21" t="s">
        <v>11</v>
      </c>
      <c r="I7" s="21" t="s">
        <v>438</v>
      </c>
      <c r="J7" s="21" t="s">
        <v>213</v>
      </c>
      <c r="K7" s="21" t="s">
        <v>439</v>
      </c>
    </row>
    <row r="8" spans="2:11" ht="19.5" customHeight="1" x14ac:dyDescent="0.25">
      <c r="B8" s="93">
        <v>1</v>
      </c>
      <c r="C8" s="67" t="s">
        <v>251</v>
      </c>
      <c r="D8" s="67" t="s">
        <v>260</v>
      </c>
      <c r="E8" s="22" t="s">
        <v>216</v>
      </c>
      <c r="F8" s="29">
        <v>588</v>
      </c>
      <c r="G8" s="134"/>
      <c r="H8" s="67" t="s">
        <v>171</v>
      </c>
      <c r="I8" s="67" t="s">
        <v>217</v>
      </c>
      <c r="J8" s="67" t="s">
        <v>252</v>
      </c>
      <c r="K8" s="67" t="s">
        <v>440</v>
      </c>
    </row>
    <row r="9" spans="2:11" ht="19.5" customHeight="1" x14ac:dyDescent="0.25">
      <c r="B9" s="96">
        <v>2</v>
      </c>
      <c r="C9" s="69" t="s">
        <v>251</v>
      </c>
      <c r="D9" s="69" t="s">
        <v>260</v>
      </c>
      <c r="E9" s="26" t="s">
        <v>253</v>
      </c>
      <c r="F9" s="31">
        <v>143</v>
      </c>
      <c r="G9" s="135"/>
      <c r="H9" s="69" t="s">
        <v>171</v>
      </c>
      <c r="I9" s="69" t="s">
        <v>441</v>
      </c>
      <c r="J9" s="69" t="s">
        <v>252</v>
      </c>
      <c r="K9" s="69" t="s">
        <v>440</v>
      </c>
    </row>
    <row r="10" spans="2:11" ht="19.5" customHeight="1" x14ac:dyDescent="0.25">
      <c r="B10" s="93">
        <v>3</v>
      </c>
      <c r="C10" s="67" t="s">
        <v>251</v>
      </c>
      <c r="D10" s="67" t="s">
        <v>251</v>
      </c>
      <c r="E10" s="22" t="s">
        <v>239</v>
      </c>
      <c r="F10" s="134"/>
      <c r="G10" s="136">
        <v>4600</v>
      </c>
      <c r="H10" s="67" t="s">
        <v>240</v>
      </c>
      <c r="I10" s="67" t="s">
        <v>241</v>
      </c>
      <c r="J10" s="67" t="s">
        <v>252</v>
      </c>
      <c r="K10" s="67" t="s">
        <v>440</v>
      </c>
    </row>
    <row r="11" spans="2:11" ht="19.5" customHeight="1" x14ac:dyDescent="0.25">
      <c r="B11" s="96">
        <v>4</v>
      </c>
      <c r="C11" s="69" t="s">
        <v>251</v>
      </c>
      <c r="D11" s="69" t="s">
        <v>260</v>
      </c>
      <c r="E11" s="26" t="s">
        <v>442</v>
      </c>
      <c r="F11" s="135"/>
      <c r="G11" s="34">
        <v>27.48</v>
      </c>
      <c r="H11" s="69" t="s">
        <v>171</v>
      </c>
      <c r="I11" s="69" t="s">
        <v>443</v>
      </c>
      <c r="J11" s="69" t="s">
        <v>252</v>
      </c>
      <c r="K11" s="69" t="s">
        <v>444</v>
      </c>
    </row>
    <row r="12" spans="2:11" ht="19.5" customHeight="1" x14ac:dyDescent="0.25">
      <c r="B12" s="93">
        <v>5</v>
      </c>
      <c r="C12" s="67" t="s">
        <v>256</v>
      </c>
      <c r="D12" s="67" t="s">
        <v>260</v>
      </c>
      <c r="E12" s="22" t="s">
        <v>223</v>
      </c>
      <c r="F12" s="29">
        <v>98</v>
      </c>
      <c r="G12" s="134"/>
      <c r="H12" s="67" t="s">
        <v>171</v>
      </c>
      <c r="I12" s="67" t="s">
        <v>441</v>
      </c>
      <c r="J12" s="67" t="s">
        <v>252</v>
      </c>
      <c r="K12" s="67" t="s">
        <v>440</v>
      </c>
    </row>
    <row r="13" spans="2:11" ht="19.5" customHeight="1" x14ac:dyDescent="0.25">
      <c r="B13" s="96">
        <v>6</v>
      </c>
      <c r="C13" s="69" t="s">
        <v>257</v>
      </c>
      <c r="D13" s="69" t="s">
        <v>260</v>
      </c>
      <c r="E13" s="26" t="s">
        <v>223</v>
      </c>
      <c r="F13" s="31">
        <v>332.5</v>
      </c>
      <c r="G13" s="135"/>
      <c r="H13" s="69" t="s">
        <v>171</v>
      </c>
      <c r="I13" s="69" t="s">
        <v>441</v>
      </c>
      <c r="J13" s="69" t="s">
        <v>252</v>
      </c>
      <c r="K13" s="69" t="s">
        <v>440</v>
      </c>
    </row>
    <row r="14" spans="2:11" ht="19.5" customHeight="1" x14ac:dyDescent="0.25">
      <c r="B14" s="93">
        <v>7</v>
      </c>
      <c r="C14" s="67" t="s">
        <v>258</v>
      </c>
      <c r="D14" s="67" t="s">
        <v>260</v>
      </c>
      <c r="E14" s="22" t="s">
        <v>216</v>
      </c>
      <c r="F14" s="29">
        <v>129</v>
      </c>
      <c r="G14" s="134"/>
      <c r="H14" s="67" t="s">
        <v>171</v>
      </c>
      <c r="I14" s="67" t="s">
        <v>217</v>
      </c>
      <c r="J14" s="67" t="s">
        <v>252</v>
      </c>
      <c r="K14" s="67" t="s">
        <v>440</v>
      </c>
    </row>
    <row r="15" spans="2:11" ht="19.5" customHeight="1" x14ac:dyDescent="0.25">
      <c r="B15" s="96">
        <v>8</v>
      </c>
      <c r="C15" s="69" t="s">
        <v>258</v>
      </c>
      <c r="D15" s="69" t="s">
        <v>260</v>
      </c>
      <c r="E15" s="26" t="s">
        <v>226</v>
      </c>
      <c r="F15" s="31">
        <v>100</v>
      </c>
      <c r="G15" s="135"/>
      <c r="H15" s="69" t="s">
        <v>171</v>
      </c>
      <c r="I15" s="69" t="s">
        <v>445</v>
      </c>
      <c r="J15" s="69" t="s">
        <v>252</v>
      </c>
      <c r="K15" s="69" t="s">
        <v>444</v>
      </c>
    </row>
    <row r="16" spans="2:11" ht="19.5" customHeight="1" x14ac:dyDescent="0.25">
      <c r="B16" s="93">
        <v>9</v>
      </c>
      <c r="C16" s="67" t="s">
        <v>259</v>
      </c>
      <c r="D16" s="67" t="s">
        <v>260</v>
      </c>
      <c r="E16" s="22" t="s">
        <v>223</v>
      </c>
      <c r="F16" s="29">
        <v>217.5</v>
      </c>
      <c r="G16" s="134"/>
      <c r="H16" s="67" t="s">
        <v>171</v>
      </c>
      <c r="I16" s="67" t="s">
        <v>441</v>
      </c>
      <c r="J16" s="67" t="s">
        <v>252</v>
      </c>
      <c r="K16" s="67" t="s">
        <v>440</v>
      </c>
    </row>
    <row r="17" spans="2:11" ht="19.5" customHeight="1" x14ac:dyDescent="0.25">
      <c r="B17" s="96">
        <v>10</v>
      </c>
      <c r="C17" s="69" t="s">
        <v>260</v>
      </c>
      <c r="D17" s="69" t="s">
        <v>267</v>
      </c>
      <c r="E17" s="26" t="s">
        <v>261</v>
      </c>
      <c r="F17" s="31">
        <v>900</v>
      </c>
      <c r="G17" s="135"/>
      <c r="H17" s="69" t="s">
        <v>29</v>
      </c>
      <c r="I17" s="69" t="s">
        <v>262</v>
      </c>
      <c r="J17" s="69" t="s">
        <v>252</v>
      </c>
      <c r="K17" s="69" t="s">
        <v>440</v>
      </c>
    </row>
    <row r="18" spans="2:11" ht="19.5" customHeight="1" x14ac:dyDescent="0.25">
      <c r="B18" s="93">
        <v>11</v>
      </c>
      <c r="C18" s="67" t="s">
        <v>260</v>
      </c>
      <c r="D18" s="67" t="s">
        <v>267</v>
      </c>
      <c r="E18" s="22" t="s">
        <v>263</v>
      </c>
      <c r="F18" s="29">
        <v>411</v>
      </c>
      <c r="G18" s="134"/>
      <c r="H18" s="67" t="s">
        <v>171</v>
      </c>
      <c r="I18" s="67" t="s">
        <v>221</v>
      </c>
      <c r="J18" s="67" t="s">
        <v>252</v>
      </c>
      <c r="K18" s="67" t="s">
        <v>440</v>
      </c>
    </row>
    <row r="19" spans="2:11" ht="19.5" customHeight="1" x14ac:dyDescent="0.25">
      <c r="B19" s="96">
        <v>12</v>
      </c>
      <c r="C19" s="69" t="s">
        <v>260</v>
      </c>
      <c r="D19" s="69" t="s">
        <v>267</v>
      </c>
      <c r="E19" s="26" t="s">
        <v>264</v>
      </c>
      <c r="F19" s="31">
        <v>200</v>
      </c>
      <c r="G19" s="135"/>
      <c r="H19" s="69" t="s">
        <v>167</v>
      </c>
      <c r="I19" s="69" t="s">
        <v>20</v>
      </c>
      <c r="J19" s="69" t="s">
        <v>252</v>
      </c>
      <c r="K19" s="69" t="s">
        <v>440</v>
      </c>
    </row>
    <row r="20" spans="2:11" ht="19.5" customHeight="1" x14ac:dyDescent="0.25">
      <c r="B20" s="93">
        <v>13</v>
      </c>
      <c r="C20" s="67" t="s">
        <v>260</v>
      </c>
      <c r="D20" s="67" t="s">
        <v>274</v>
      </c>
      <c r="E20" s="22" t="s">
        <v>446</v>
      </c>
      <c r="F20" s="134"/>
      <c r="G20" s="136">
        <v>129</v>
      </c>
      <c r="H20" s="67" t="s">
        <v>171</v>
      </c>
      <c r="I20" s="67" t="s">
        <v>217</v>
      </c>
      <c r="J20" s="67" t="s">
        <v>252</v>
      </c>
      <c r="K20" s="67" t="s">
        <v>440</v>
      </c>
    </row>
    <row r="21" spans="2:11" ht="19.5" customHeight="1" x14ac:dyDescent="0.25">
      <c r="B21" s="96">
        <v>14</v>
      </c>
      <c r="C21" s="69" t="s">
        <v>260</v>
      </c>
      <c r="D21" s="69" t="s">
        <v>274</v>
      </c>
      <c r="E21" s="26" t="s">
        <v>266</v>
      </c>
      <c r="F21" s="31">
        <v>776.51</v>
      </c>
      <c r="G21" s="135"/>
      <c r="H21" s="69" t="s">
        <v>167</v>
      </c>
      <c r="I21" s="69" t="s">
        <v>20</v>
      </c>
      <c r="J21" s="69" t="s">
        <v>252</v>
      </c>
      <c r="K21" s="69" t="s">
        <v>440</v>
      </c>
    </row>
    <row r="22" spans="2:11" ht="19.5" customHeight="1" x14ac:dyDescent="0.25">
      <c r="B22" s="93">
        <v>15</v>
      </c>
      <c r="C22" s="67" t="s">
        <v>260</v>
      </c>
      <c r="D22" s="67" t="s">
        <v>274</v>
      </c>
      <c r="E22" s="22" t="s">
        <v>216</v>
      </c>
      <c r="F22" s="29">
        <v>633.20000000000005</v>
      </c>
      <c r="G22" s="134"/>
      <c r="H22" s="67" t="s">
        <v>171</v>
      </c>
      <c r="I22" s="67" t="s">
        <v>217</v>
      </c>
      <c r="J22" s="67" t="s">
        <v>252</v>
      </c>
      <c r="K22" s="67" t="s">
        <v>440</v>
      </c>
    </row>
    <row r="23" spans="2:11" ht="19.5" customHeight="1" x14ac:dyDescent="0.25">
      <c r="B23" s="96">
        <v>16</v>
      </c>
      <c r="C23" s="69" t="s">
        <v>260</v>
      </c>
      <c r="D23" s="69" t="s">
        <v>274</v>
      </c>
      <c r="E23" s="26" t="s">
        <v>243</v>
      </c>
      <c r="F23" s="31">
        <v>144.97</v>
      </c>
      <c r="G23" s="135"/>
      <c r="H23" s="69" t="s">
        <v>244</v>
      </c>
      <c r="I23" s="69" t="s">
        <v>245</v>
      </c>
      <c r="J23" s="69" t="s">
        <v>252</v>
      </c>
      <c r="K23" s="69" t="s">
        <v>440</v>
      </c>
    </row>
    <row r="24" spans="2:11" ht="19.5" customHeight="1" x14ac:dyDescent="0.25">
      <c r="B24" s="93">
        <v>17</v>
      </c>
      <c r="C24" s="67" t="s">
        <v>260</v>
      </c>
      <c r="D24" s="67" t="s">
        <v>267</v>
      </c>
      <c r="E24" s="22" t="s">
        <v>226</v>
      </c>
      <c r="F24" s="29">
        <v>100</v>
      </c>
      <c r="G24" s="134"/>
      <c r="H24" s="67" t="s">
        <v>171</v>
      </c>
      <c r="I24" s="67" t="s">
        <v>445</v>
      </c>
      <c r="J24" s="67" t="s">
        <v>252</v>
      </c>
      <c r="K24" s="67" t="s">
        <v>444</v>
      </c>
    </row>
    <row r="25" spans="2:11" ht="19.5" customHeight="1" x14ac:dyDescent="0.25">
      <c r="B25" s="96">
        <v>18</v>
      </c>
      <c r="C25" s="69" t="s">
        <v>267</v>
      </c>
      <c r="D25" s="69" t="s">
        <v>274</v>
      </c>
      <c r="E25" s="26" t="s">
        <v>268</v>
      </c>
      <c r="F25" s="31">
        <v>161</v>
      </c>
      <c r="G25" s="135"/>
      <c r="H25" s="69" t="s">
        <v>179</v>
      </c>
      <c r="I25" s="69" t="s">
        <v>447</v>
      </c>
      <c r="J25" s="69" t="s">
        <v>252</v>
      </c>
      <c r="K25" s="69" t="s">
        <v>440</v>
      </c>
    </row>
    <row r="26" spans="2:11" ht="19.5" customHeight="1" x14ac:dyDescent="0.25">
      <c r="B26" s="93">
        <v>19</v>
      </c>
      <c r="C26" s="67" t="s">
        <v>267</v>
      </c>
      <c r="D26" s="67" t="s">
        <v>448</v>
      </c>
      <c r="E26" s="22" t="s">
        <v>271</v>
      </c>
      <c r="F26" s="29">
        <v>700</v>
      </c>
      <c r="G26" s="134"/>
      <c r="H26" s="67" t="s">
        <v>167</v>
      </c>
      <c r="I26" s="67" t="s">
        <v>20</v>
      </c>
      <c r="J26" s="67" t="s">
        <v>252</v>
      </c>
      <c r="K26" s="67" t="s">
        <v>440</v>
      </c>
    </row>
    <row r="27" spans="2:11" ht="19.5" customHeight="1" x14ac:dyDescent="0.25">
      <c r="B27" s="96">
        <v>20</v>
      </c>
      <c r="C27" s="69" t="s">
        <v>267</v>
      </c>
      <c r="D27" s="69" t="s">
        <v>274</v>
      </c>
      <c r="E27" s="26" t="s">
        <v>226</v>
      </c>
      <c r="F27" s="31">
        <v>100</v>
      </c>
      <c r="G27" s="135"/>
      <c r="H27" s="69" t="s">
        <v>171</v>
      </c>
      <c r="I27" s="69" t="s">
        <v>445</v>
      </c>
      <c r="J27" s="69" t="s">
        <v>252</v>
      </c>
      <c r="K27" s="69" t="s">
        <v>444</v>
      </c>
    </row>
    <row r="28" spans="2:11" ht="19.5" customHeight="1" x14ac:dyDescent="0.25">
      <c r="B28" s="93">
        <v>21</v>
      </c>
      <c r="C28" s="67" t="s">
        <v>267</v>
      </c>
      <c r="D28" s="67" t="s">
        <v>274</v>
      </c>
      <c r="E28" s="22" t="s">
        <v>272</v>
      </c>
      <c r="F28" s="29">
        <v>347</v>
      </c>
      <c r="G28" s="134"/>
      <c r="H28" s="67" t="s">
        <v>185</v>
      </c>
      <c r="I28" s="67" t="s">
        <v>449</v>
      </c>
      <c r="J28" s="67" t="s">
        <v>252</v>
      </c>
      <c r="K28" s="67" t="s">
        <v>444</v>
      </c>
    </row>
    <row r="29" spans="2:11" ht="19.5" customHeight="1" x14ac:dyDescent="0.25">
      <c r="B29" s="96">
        <v>22</v>
      </c>
      <c r="C29" s="69" t="s">
        <v>274</v>
      </c>
      <c r="D29" s="69" t="s">
        <v>448</v>
      </c>
      <c r="E29" s="26" t="s">
        <v>450</v>
      </c>
      <c r="F29" s="31">
        <v>329</v>
      </c>
      <c r="G29" s="135"/>
      <c r="H29" s="69" t="s">
        <v>174</v>
      </c>
      <c r="I29" s="69" t="s">
        <v>276</v>
      </c>
      <c r="J29" s="69" t="s">
        <v>252</v>
      </c>
      <c r="K29" s="69" t="s">
        <v>444</v>
      </c>
    </row>
    <row r="30" spans="2:11" ht="19.5" customHeight="1" x14ac:dyDescent="0.25">
      <c r="B30" s="93">
        <v>23</v>
      </c>
      <c r="C30" s="67" t="s">
        <v>274</v>
      </c>
      <c r="D30" s="67" t="s">
        <v>448</v>
      </c>
      <c r="E30" s="22" t="s">
        <v>277</v>
      </c>
      <c r="F30" s="29">
        <v>855.35</v>
      </c>
      <c r="G30" s="134"/>
      <c r="H30" s="67" t="s">
        <v>178</v>
      </c>
      <c r="I30" s="67" t="s">
        <v>278</v>
      </c>
      <c r="J30" s="67" t="s">
        <v>252</v>
      </c>
      <c r="K30" s="67" t="s">
        <v>444</v>
      </c>
    </row>
    <row r="31" spans="2:11" ht="19.5" customHeight="1" x14ac:dyDescent="0.25">
      <c r="B31" s="96">
        <v>24</v>
      </c>
      <c r="C31" s="69" t="s">
        <v>279</v>
      </c>
      <c r="D31" s="69" t="s">
        <v>451</v>
      </c>
      <c r="E31" s="26" t="s">
        <v>280</v>
      </c>
      <c r="F31" s="31">
        <v>340</v>
      </c>
      <c r="G31" s="135"/>
      <c r="H31" s="69" t="s">
        <v>29</v>
      </c>
      <c r="I31" s="69" t="s">
        <v>281</v>
      </c>
      <c r="J31" s="69" t="s">
        <v>252</v>
      </c>
      <c r="K31" s="69" t="s">
        <v>440</v>
      </c>
    </row>
    <row r="32" spans="2:11" ht="19.5" customHeight="1" x14ac:dyDescent="0.25">
      <c r="B32" s="93">
        <v>25</v>
      </c>
      <c r="C32" s="67" t="s">
        <v>279</v>
      </c>
      <c r="D32" s="67" t="s">
        <v>451</v>
      </c>
      <c r="E32" s="22" t="s">
        <v>239</v>
      </c>
      <c r="F32" s="134"/>
      <c r="G32" s="136">
        <v>555</v>
      </c>
      <c r="H32" s="67" t="s">
        <v>240</v>
      </c>
      <c r="I32" s="67" t="s">
        <v>241</v>
      </c>
      <c r="J32" s="67" t="s">
        <v>252</v>
      </c>
      <c r="K32" s="67" t="s">
        <v>440</v>
      </c>
    </row>
    <row r="33" spans="2:11" ht="19.5" customHeight="1" x14ac:dyDescent="0.25">
      <c r="B33" s="96">
        <v>26</v>
      </c>
      <c r="C33" s="69" t="s">
        <v>279</v>
      </c>
      <c r="D33" s="69" t="s">
        <v>451</v>
      </c>
      <c r="E33" s="26" t="s">
        <v>239</v>
      </c>
      <c r="F33" s="135"/>
      <c r="G33" s="34">
        <v>415</v>
      </c>
      <c r="H33" s="69" t="s">
        <v>240</v>
      </c>
      <c r="I33" s="69" t="s">
        <v>241</v>
      </c>
      <c r="J33" s="69" t="s">
        <v>252</v>
      </c>
      <c r="K33" s="69" t="s">
        <v>440</v>
      </c>
    </row>
    <row r="34" spans="2:11" ht="19.5" customHeight="1" x14ac:dyDescent="0.25">
      <c r="B34" s="93">
        <v>27</v>
      </c>
      <c r="C34" s="67" t="s">
        <v>282</v>
      </c>
      <c r="D34" s="67" t="s">
        <v>283</v>
      </c>
      <c r="E34" s="22" t="s">
        <v>223</v>
      </c>
      <c r="F34" s="29">
        <v>98</v>
      </c>
      <c r="G34" s="134"/>
      <c r="H34" s="67" t="s">
        <v>171</v>
      </c>
      <c r="I34" s="67" t="s">
        <v>441</v>
      </c>
      <c r="J34" s="67" t="s">
        <v>252</v>
      </c>
      <c r="K34" s="67" t="s">
        <v>440</v>
      </c>
    </row>
    <row r="35" spans="2:11" ht="19.5" customHeight="1" x14ac:dyDescent="0.25">
      <c r="B35" s="96">
        <v>28</v>
      </c>
      <c r="C35" s="69" t="s">
        <v>283</v>
      </c>
      <c r="D35" s="69" t="s">
        <v>286</v>
      </c>
      <c r="E35" s="26" t="s">
        <v>452</v>
      </c>
      <c r="F35" s="31">
        <v>917.4</v>
      </c>
      <c r="G35" s="135"/>
      <c r="H35" s="69" t="s">
        <v>167</v>
      </c>
      <c r="I35" s="69" t="s">
        <v>20</v>
      </c>
      <c r="J35" s="69" t="s">
        <v>252</v>
      </c>
      <c r="K35" s="69" t="s">
        <v>440</v>
      </c>
    </row>
    <row r="36" spans="2:11" ht="19.5" customHeight="1" x14ac:dyDescent="0.25">
      <c r="B36" s="93">
        <v>29</v>
      </c>
      <c r="C36" s="67" t="s">
        <v>283</v>
      </c>
      <c r="D36" s="67" t="s">
        <v>286</v>
      </c>
      <c r="E36" s="22" t="s">
        <v>285</v>
      </c>
      <c r="F36" s="29">
        <v>212.75</v>
      </c>
      <c r="G36" s="134"/>
      <c r="H36" s="67" t="s">
        <v>171</v>
      </c>
      <c r="I36" s="67" t="s">
        <v>221</v>
      </c>
      <c r="J36" s="67" t="s">
        <v>252</v>
      </c>
      <c r="K36" s="67" t="s">
        <v>440</v>
      </c>
    </row>
    <row r="37" spans="2:11" ht="19.5" customHeight="1" x14ac:dyDescent="0.25">
      <c r="B37" s="96">
        <v>30</v>
      </c>
      <c r="C37" s="69" t="s">
        <v>286</v>
      </c>
      <c r="D37" s="69" t="s">
        <v>287</v>
      </c>
      <c r="E37" s="26" t="s">
        <v>226</v>
      </c>
      <c r="F37" s="31">
        <v>50</v>
      </c>
      <c r="G37" s="135"/>
      <c r="H37" s="69" t="s">
        <v>171</v>
      </c>
      <c r="I37" s="69" t="s">
        <v>445</v>
      </c>
      <c r="J37" s="69" t="s">
        <v>252</v>
      </c>
      <c r="K37" s="69" t="s">
        <v>444</v>
      </c>
    </row>
    <row r="38" spans="2:11" ht="19.5" customHeight="1" x14ac:dyDescent="0.25">
      <c r="B38" s="93">
        <v>31</v>
      </c>
      <c r="C38" s="67" t="s">
        <v>286</v>
      </c>
      <c r="D38" s="67" t="s">
        <v>287</v>
      </c>
      <c r="E38" s="22" t="s">
        <v>226</v>
      </c>
      <c r="F38" s="29">
        <v>50</v>
      </c>
      <c r="G38" s="134"/>
      <c r="H38" s="67" t="s">
        <v>171</v>
      </c>
      <c r="I38" s="67" t="s">
        <v>445</v>
      </c>
      <c r="J38" s="67" t="s">
        <v>252</v>
      </c>
      <c r="K38" s="67" t="s">
        <v>444</v>
      </c>
    </row>
    <row r="39" spans="2:11" ht="19.5" customHeight="1" x14ac:dyDescent="0.25">
      <c r="B39" s="96">
        <v>32</v>
      </c>
      <c r="C39" s="69" t="s">
        <v>215</v>
      </c>
      <c r="D39" s="69" t="s">
        <v>453</v>
      </c>
      <c r="E39" s="26" t="s">
        <v>216</v>
      </c>
      <c r="F39" s="31">
        <v>5</v>
      </c>
      <c r="G39" s="135"/>
      <c r="H39" s="69" t="s">
        <v>171</v>
      </c>
      <c r="I39" s="69" t="s">
        <v>217</v>
      </c>
      <c r="J39" s="69" t="s">
        <v>227</v>
      </c>
      <c r="K39" s="69" t="s">
        <v>440</v>
      </c>
    </row>
    <row r="40" spans="2:11" ht="19.5" customHeight="1" x14ac:dyDescent="0.25">
      <c r="B40" s="93">
        <v>33</v>
      </c>
      <c r="C40" s="67" t="s">
        <v>287</v>
      </c>
      <c r="D40" s="67" t="s">
        <v>287</v>
      </c>
      <c r="E40" s="22" t="s">
        <v>239</v>
      </c>
      <c r="F40" s="134"/>
      <c r="G40" s="136">
        <v>5000</v>
      </c>
      <c r="H40" s="67" t="s">
        <v>240</v>
      </c>
      <c r="I40" s="67" t="s">
        <v>241</v>
      </c>
      <c r="J40" s="67" t="s">
        <v>288</v>
      </c>
      <c r="K40" s="67" t="s">
        <v>440</v>
      </c>
    </row>
    <row r="41" spans="2:11" ht="19.5" customHeight="1" x14ac:dyDescent="0.25">
      <c r="B41" s="96">
        <v>34</v>
      </c>
      <c r="C41" s="69" t="s">
        <v>290</v>
      </c>
      <c r="D41" s="69" t="s">
        <v>300</v>
      </c>
      <c r="E41" s="26" t="s">
        <v>291</v>
      </c>
      <c r="F41" s="31">
        <v>196</v>
      </c>
      <c r="G41" s="135"/>
      <c r="H41" s="69" t="s">
        <v>171</v>
      </c>
      <c r="I41" s="69" t="s">
        <v>221</v>
      </c>
      <c r="J41" s="69" t="s">
        <v>288</v>
      </c>
      <c r="K41" s="69" t="s">
        <v>440</v>
      </c>
    </row>
    <row r="42" spans="2:11" ht="19.5" customHeight="1" x14ac:dyDescent="0.25">
      <c r="B42" s="93">
        <v>35</v>
      </c>
      <c r="C42" s="67" t="s">
        <v>290</v>
      </c>
      <c r="D42" s="67" t="s">
        <v>300</v>
      </c>
      <c r="E42" s="22" t="s">
        <v>223</v>
      </c>
      <c r="F42" s="29">
        <v>98</v>
      </c>
      <c r="G42" s="134"/>
      <c r="H42" s="67" t="s">
        <v>171</v>
      </c>
      <c r="I42" s="67" t="s">
        <v>441</v>
      </c>
      <c r="J42" s="67" t="s">
        <v>288</v>
      </c>
      <c r="K42" s="67" t="s">
        <v>440</v>
      </c>
    </row>
    <row r="43" spans="2:11" ht="19.5" customHeight="1" x14ac:dyDescent="0.25">
      <c r="B43" s="96">
        <v>36</v>
      </c>
      <c r="C43" s="69" t="s">
        <v>292</v>
      </c>
      <c r="D43" s="69" t="s">
        <v>300</v>
      </c>
      <c r="E43" s="26" t="s">
        <v>293</v>
      </c>
      <c r="F43" s="31">
        <v>300</v>
      </c>
      <c r="G43" s="135"/>
      <c r="H43" s="69" t="s">
        <v>171</v>
      </c>
      <c r="I43" s="69" t="s">
        <v>221</v>
      </c>
      <c r="J43" s="69" t="s">
        <v>288</v>
      </c>
      <c r="K43" s="69" t="s">
        <v>440</v>
      </c>
    </row>
    <row r="44" spans="2:11" ht="19.5" customHeight="1" x14ac:dyDescent="0.25">
      <c r="B44" s="93">
        <v>37</v>
      </c>
      <c r="C44" s="67" t="s">
        <v>219</v>
      </c>
      <c r="D44" s="67" t="s">
        <v>454</v>
      </c>
      <c r="E44" s="22" t="s">
        <v>220</v>
      </c>
      <c r="F44" s="29">
        <v>189</v>
      </c>
      <c r="G44" s="134"/>
      <c r="H44" s="67" t="s">
        <v>171</v>
      </c>
      <c r="I44" s="67" t="s">
        <v>221</v>
      </c>
      <c r="J44" s="67" t="s">
        <v>227</v>
      </c>
      <c r="K44" s="67" t="s">
        <v>440</v>
      </c>
    </row>
    <row r="45" spans="2:11" ht="19.5" customHeight="1" x14ac:dyDescent="0.25">
      <c r="B45" s="96">
        <v>38</v>
      </c>
      <c r="C45" s="69" t="s">
        <v>294</v>
      </c>
      <c r="D45" s="69" t="s">
        <v>302</v>
      </c>
      <c r="E45" s="26" t="s">
        <v>455</v>
      </c>
      <c r="F45" s="31">
        <v>1200.47</v>
      </c>
      <c r="G45" s="135"/>
      <c r="H45" s="69" t="s">
        <v>171</v>
      </c>
      <c r="I45" s="69" t="s">
        <v>217</v>
      </c>
      <c r="J45" s="69" t="s">
        <v>288</v>
      </c>
      <c r="K45" s="69" t="s">
        <v>440</v>
      </c>
    </row>
    <row r="46" spans="2:11" ht="19.5" customHeight="1" x14ac:dyDescent="0.25">
      <c r="B46" s="93">
        <v>39</v>
      </c>
      <c r="C46" s="67" t="s">
        <v>294</v>
      </c>
      <c r="D46" s="67" t="s">
        <v>302</v>
      </c>
      <c r="E46" s="22" t="s">
        <v>266</v>
      </c>
      <c r="F46" s="29">
        <v>681.35</v>
      </c>
      <c r="G46" s="134"/>
      <c r="H46" s="67" t="s">
        <v>167</v>
      </c>
      <c r="I46" s="67" t="s">
        <v>20</v>
      </c>
      <c r="J46" s="67" t="s">
        <v>288</v>
      </c>
      <c r="K46" s="67" t="s">
        <v>440</v>
      </c>
    </row>
    <row r="47" spans="2:11" ht="19.5" customHeight="1" x14ac:dyDescent="0.25">
      <c r="B47" s="96">
        <v>40</v>
      </c>
      <c r="C47" s="69" t="s">
        <v>294</v>
      </c>
      <c r="D47" s="69" t="s">
        <v>302</v>
      </c>
      <c r="E47" s="26" t="s">
        <v>216</v>
      </c>
      <c r="F47" s="31">
        <v>2718.9</v>
      </c>
      <c r="G47" s="135"/>
      <c r="H47" s="69" t="s">
        <v>171</v>
      </c>
      <c r="I47" s="69" t="s">
        <v>217</v>
      </c>
      <c r="J47" s="69" t="s">
        <v>288</v>
      </c>
      <c r="K47" s="69" t="s">
        <v>440</v>
      </c>
    </row>
    <row r="48" spans="2:11" ht="19.5" customHeight="1" x14ac:dyDescent="0.25">
      <c r="B48" s="93">
        <v>41</v>
      </c>
      <c r="C48" s="67" t="s">
        <v>294</v>
      </c>
      <c r="D48" s="67" t="s">
        <v>300</v>
      </c>
      <c r="E48" s="22" t="s">
        <v>298</v>
      </c>
      <c r="F48" s="29">
        <v>129</v>
      </c>
      <c r="G48" s="134"/>
      <c r="H48" s="67" t="s">
        <v>185</v>
      </c>
      <c r="I48" s="67" t="s">
        <v>363</v>
      </c>
      <c r="J48" s="67" t="s">
        <v>288</v>
      </c>
      <c r="K48" s="67" t="s">
        <v>444</v>
      </c>
    </row>
    <row r="49" spans="2:11" ht="19.5" customHeight="1" x14ac:dyDescent="0.25">
      <c r="B49" s="96">
        <v>42</v>
      </c>
      <c r="C49" s="69" t="s">
        <v>294</v>
      </c>
      <c r="D49" s="69" t="s">
        <v>300</v>
      </c>
      <c r="E49" s="26" t="s">
        <v>299</v>
      </c>
      <c r="F49" s="31">
        <v>216</v>
      </c>
      <c r="G49" s="135"/>
      <c r="H49" s="69" t="s">
        <v>171</v>
      </c>
      <c r="I49" s="69" t="s">
        <v>221</v>
      </c>
      <c r="J49" s="69" t="s">
        <v>288</v>
      </c>
      <c r="K49" s="69" t="s">
        <v>444</v>
      </c>
    </row>
    <row r="50" spans="2:11" ht="19.5" customHeight="1" x14ac:dyDescent="0.25">
      <c r="B50" s="93">
        <v>43</v>
      </c>
      <c r="C50" s="67" t="s">
        <v>294</v>
      </c>
      <c r="D50" s="67" t="s">
        <v>300</v>
      </c>
      <c r="E50" s="22" t="s">
        <v>226</v>
      </c>
      <c r="F50" s="29">
        <v>250</v>
      </c>
      <c r="G50" s="134"/>
      <c r="H50" s="67" t="s">
        <v>171</v>
      </c>
      <c r="I50" s="67" t="s">
        <v>445</v>
      </c>
      <c r="J50" s="67" t="s">
        <v>288</v>
      </c>
      <c r="K50" s="67" t="s">
        <v>444</v>
      </c>
    </row>
    <row r="51" spans="2:11" ht="19.5" customHeight="1" x14ac:dyDescent="0.25">
      <c r="B51" s="96">
        <v>44</v>
      </c>
      <c r="C51" s="69" t="s">
        <v>300</v>
      </c>
      <c r="D51" s="69" t="s">
        <v>302</v>
      </c>
      <c r="E51" s="26" t="s">
        <v>291</v>
      </c>
      <c r="F51" s="31">
        <v>133</v>
      </c>
      <c r="G51" s="135"/>
      <c r="H51" s="69" t="s">
        <v>171</v>
      </c>
      <c r="I51" s="69" t="s">
        <v>221</v>
      </c>
      <c r="J51" s="69" t="s">
        <v>288</v>
      </c>
      <c r="K51" s="69" t="s">
        <v>440</v>
      </c>
    </row>
    <row r="52" spans="2:11" ht="19.5" customHeight="1" x14ac:dyDescent="0.25">
      <c r="B52" s="93">
        <v>45</v>
      </c>
      <c r="C52" s="67" t="s">
        <v>300</v>
      </c>
      <c r="D52" s="67" t="s">
        <v>302</v>
      </c>
      <c r="E52" s="22" t="s">
        <v>301</v>
      </c>
      <c r="F52" s="29">
        <v>539</v>
      </c>
      <c r="G52" s="134"/>
      <c r="H52" s="67" t="s">
        <v>171</v>
      </c>
      <c r="I52" s="67" t="s">
        <v>456</v>
      </c>
      <c r="J52" s="67" t="s">
        <v>288</v>
      </c>
      <c r="K52" s="67" t="s">
        <v>440</v>
      </c>
    </row>
    <row r="53" spans="2:11" ht="19.5" customHeight="1" x14ac:dyDescent="0.25">
      <c r="B53" s="96">
        <v>46</v>
      </c>
      <c r="C53" s="69" t="s">
        <v>300</v>
      </c>
      <c r="D53" s="69" t="s">
        <v>300</v>
      </c>
      <c r="E53" s="26" t="s">
        <v>239</v>
      </c>
      <c r="F53" s="135"/>
      <c r="G53" s="34">
        <v>1500</v>
      </c>
      <c r="H53" s="69" t="s">
        <v>240</v>
      </c>
      <c r="I53" s="69" t="s">
        <v>241</v>
      </c>
      <c r="J53" s="69" t="s">
        <v>288</v>
      </c>
      <c r="K53" s="69" t="s">
        <v>440</v>
      </c>
    </row>
    <row r="54" spans="2:11" ht="19.5" customHeight="1" x14ac:dyDescent="0.25">
      <c r="B54" s="93">
        <v>47</v>
      </c>
      <c r="C54" s="67" t="s">
        <v>222</v>
      </c>
      <c r="D54" s="67" t="s">
        <v>229</v>
      </c>
      <c r="E54" s="22" t="s">
        <v>223</v>
      </c>
      <c r="F54" s="29">
        <v>194</v>
      </c>
      <c r="G54" s="134"/>
      <c r="H54" s="67" t="s">
        <v>171</v>
      </c>
      <c r="I54" s="67" t="s">
        <v>441</v>
      </c>
      <c r="J54" s="67" t="s">
        <v>227</v>
      </c>
      <c r="K54" s="67" t="s">
        <v>440</v>
      </c>
    </row>
    <row r="55" spans="2:11" ht="19.5" customHeight="1" x14ac:dyDescent="0.25">
      <c r="B55" s="96">
        <v>48</v>
      </c>
      <c r="C55" s="69" t="s">
        <v>225</v>
      </c>
      <c r="D55" s="69" t="s">
        <v>229</v>
      </c>
      <c r="E55" s="26" t="s">
        <v>226</v>
      </c>
      <c r="F55" s="31">
        <v>100</v>
      </c>
      <c r="G55" s="135"/>
      <c r="H55" s="69" t="s">
        <v>171</v>
      </c>
      <c r="I55" s="69" t="s">
        <v>445</v>
      </c>
      <c r="J55" s="69" t="s">
        <v>227</v>
      </c>
      <c r="K55" s="69" t="s">
        <v>444</v>
      </c>
    </row>
    <row r="56" spans="2:11" ht="19.5" customHeight="1" x14ac:dyDescent="0.25">
      <c r="B56" s="93">
        <v>49</v>
      </c>
      <c r="C56" s="67" t="s">
        <v>229</v>
      </c>
      <c r="D56" s="67" t="s">
        <v>232</v>
      </c>
      <c r="E56" s="22" t="s">
        <v>223</v>
      </c>
      <c r="F56" s="29">
        <v>98</v>
      </c>
      <c r="G56" s="134"/>
      <c r="H56" s="67" t="s">
        <v>171</v>
      </c>
      <c r="I56" s="67" t="s">
        <v>441</v>
      </c>
      <c r="J56" s="67" t="s">
        <v>227</v>
      </c>
      <c r="K56" s="67" t="s">
        <v>440</v>
      </c>
    </row>
    <row r="57" spans="2:11" ht="19.5" customHeight="1" x14ac:dyDescent="0.25">
      <c r="B57" s="96">
        <v>50</v>
      </c>
      <c r="C57" s="69" t="s">
        <v>229</v>
      </c>
      <c r="D57" s="69" t="s">
        <v>232</v>
      </c>
      <c r="E57" s="26" t="s">
        <v>230</v>
      </c>
      <c r="F57" s="31">
        <v>339</v>
      </c>
      <c r="G57" s="135"/>
      <c r="H57" s="69" t="s">
        <v>29</v>
      </c>
      <c r="I57" s="69" t="s">
        <v>231</v>
      </c>
      <c r="J57" s="69" t="s">
        <v>227</v>
      </c>
      <c r="K57" s="69" t="s">
        <v>440</v>
      </c>
    </row>
    <row r="58" spans="2:11" ht="19.5" customHeight="1" x14ac:dyDescent="0.25">
      <c r="B58" s="93">
        <v>51</v>
      </c>
      <c r="C58" s="67" t="s">
        <v>229</v>
      </c>
      <c r="D58" s="67" t="s">
        <v>457</v>
      </c>
      <c r="E58" s="22" t="s">
        <v>216</v>
      </c>
      <c r="F58" s="29">
        <v>792.6</v>
      </c>
      <c r="G58" s="134"/>
      <c r="H58" s="67" t="s">
        <v>171</v>
      </c>
      <c r="I58" s="67" t="s">
        <v>217</v>
      </c>
      <c r="J58" s="67" t="s">
        <v>227</v>
      </c>
      <c r="K58" s="67" t="s">
        <v>440</v>
      </c>
    </row>
    <row r="59" spans="2:11" ht="19.5" customHeight="1" x14ac:dyDescent="0.25">
      <c r="B59" s="96">
        <v>52</v>
      </c>
      <c r="C59" s="69" t="s">
        <v>229</v>
      </c>
      <c r="D59" s="69" t="s">
        <v>457</v>
      </c>
      <c r="E59" s="26" t="s">
        <v>216</v>
      </c>
      <c r="F59" s="31">
        <v>449</v>
      </c>
      <c r="G59" s="135"/>
      <c r="H59" s="69" t="s">
        <v>171</v>
      </c>
      <c r="I59" s="69" t="s">
        <v>217</v>
      </c>
      <c r="J59" s="69" t="s">
        <v>227</v>
      </c>
      <c r="K59" s="69" t="s">
        <v>440</v>
      </c>
    </row>
    <row r="60" spans="2:11" ht="19.5" customHeight="1" x14ac:dyDescent="0.25">
      <c r="B60" s="93">
        <v>53</v>
      </c>
      <c r="C60" s="67" t="s">
        <v>229</v>
      </c>
      <c r="D60" s="67" t="s">
        <v>232</v>
      </c>
      <c r="E60" s="22" t="s">
        <v>226</v>
      </c>
      <c r="F60" s="29">
        <v>100</v>
      </c>
      <c r="G60" s="134"/>
      <c r="H60" s="67" t="s">
        <v>171</v>
      </c>
      <c r="I60" s="67" t="s">
        <v>445</v>
      </c>
      <c r="J60" s="67" t="s">
        <v>227</v>
      </c>
      <c r="K60" s="67" t="s">
        <v>444</v>
      </c>
    </row>
    <row r="61" spans="2:11" ht="19.5" customHeight="1" x14ac:dyDescent="0.25">
      <c r="B61" s="96">
        <v>54</v>
      </c>
      <c r="C61" s="69" t="s">
        <v>232</v>
      </c>
      <c r="D61" s="69" t="s">
        <v>457</v>
      </c>
      <c r="E61" s="26" t="s">
        <v>458</v>
      </c>
      <c r="F61" s="31">
        <v>966.13</v>
      </c>
      <c r="G61" s="135"/>
      <c r="H61" s="69" t="s">
        <v>167</v>
      </c>
      <c r="I61" s="69" t="s">
        <v>20</v>
      </c>
      <c r="J61" s="69" t="s">
        <v>227</v>
      </c>
      <c r="K61" s="69" t="s">
        <v>440</v>
      </c>
    </row>
    <row r="62" spans="2:11" ht="19.5" customHeight="1" x14ac:dyDescent="0.25">
      <c r="B62" s="93">
        <v>55</v>
      </c>
      <c r="C62" s="67" t="s">
        <v>234</v>
      </c>
      <c r="D62" s="67" t="s">
        <v>242</v>
      </c>
      <c r="E62" s="22" t="s">
        <v>235</v>
      </c>
      <c r="F62" s="29">
        <v>479</v>
      </c>
      <c r="G62" s="134"/>
      <c r="H62" s="67" t="s">
        <v>176</v>
      </c>
      <c r="I62" s="67" t="s">
        <v>44</v>
      </c>
      <c r="J62" s="67" t="s">
        <v>227</v>
      </c>
      <c r="K62" s="67" t="s">
        <v>444</v>
      </c>
    </row>
    <row r="63" spans="2:11" ht="19.5" customHeight="1" x14ac:dyDescent="0.25">
      <c r="B63" s="96">
        <v>56</v>
      </c>
      <c r="C63" s="69" t="s">
        <v>236</v>
      </c>
      <c r="D63" s="69" t="s">
        <v>242</v>
      </c>
      <c r="E63" s="26" t="s">
        <v>237</v>
      </c>
      <c r="F63" s="31">
        <v>783</v>
      </c>
      <c r="G63" s="135"/>
      <c r="H63" s="69" t="s">
        <v>171</v>
      </c>
      <c r="I63" s="69" t="s">
        <v>217</v>
      </c>
      <c r="J63" s="69" t="s">
        <v>227</v>
      </c>
      <c r="K63" s="69" t="s">
        <v>440</v>
      </c>
    </row>
    <row r="64" spans="2:11" ht="19.5" customHeight="1" x14ac:dyDescent="0.25">
      <c r="B64" s="93">
        <v>57</v>
      </c>
      <c r="C64" s="67" t="s">
        <v>236</v>
      </c>
      <c r="D64" s="67" t="s">
        <v>242</v>
      </c>
      <c r="E64" s="22" t="s">
        <v>459</v>
      </c>
      <c r="F64" s="29">
        <v>623</v>
      </c>
      <c r="G64" s="134"/>
      <c r="H64" s="67" t="s">
        <v>171</v>
      </c>
      <c r="I64" s="67" t="s">
        <v>441</v>
      </c>
      <c r="J64" s="67" t="s">
        <v>227</v>
      </c>
      <c r="K64" s="67" t="s">
        <v>440</v>
      </c>
    </row>
    <row r="65" spans="2:11" ht="19.5" customHeight="1" x14ac:dyDescent="0.25">
      <c r="B65" s="96">
        <v>58</v>
      </c>
      <c r="C65" s="69" t="s">
        <v>236</v>
      </c>
      <c r="D65" s="69" t="s">
        <v>242</v>
      </c>
      <c r="E65" s="26" t="s">
        <v>239</v>
      </c>
      <c r="F65" s="135"/>
      <c r="G65" s="34">
        <v>449</v>
      </c>
      <c r="H65" s="69" t="s">
        <v>240</v>
      </c>
      <c r="I65" s="69" t="s">
        <v>241</v>
      </c>
      <c r="J65" s="69" t="s">
        <v>227</v>
      </c>
      <c r="K65" s="69" t="s">
        <v>440</v>
      </c>
    </row>
    <row r="66" spans="2:11" ht="19.5" customHeight="1" x14ac:dyDescent="0.25">
      <c r="B66" s="93">
        <v>59</v>
      </c>
      <c r="C66" s="67" t="s">
        <v>242</v>
      </c>
      <c r="D66" s="67" t="s">
        <v>251</v>
      </c>
      <c r="E66" s="22" t="s">
        <v>243</v>
      </c>
      <c r="F66" s="29">
        <v>271.52999999999997</v>
      </c>
      <c r="G66" s="134"/>
      <c r="H66" s="67" t="s">
        <v>244</v>
      </c>
      <c r="I66" s="67" t="s">
        <v>245</v>
      </c>
      <c r="J66" s="67" t="s">
        <v>227</v>
      </c>
      <c r="K66" s="67" t="s">
        <v>440</v>
      </c>
    </row>
    <row r="67" spans="2:11" ht="19.5" customHeight="1" x14ac:dyDescent="0.25">
      <c r="B67" s="96">
        <v>60</v>
      </c>
      <c r="C67" s="69" t="s">
        <v>246</v>
      </c>
      <c r="D67" s="69" t="s">
        <v>251</v>
      </c>
      <c r="E67" s="26" t="s">
        <v>247</v>
      </c>
      <c r="F67" s="31">
        <v>799</v>
      </c>
      <c r="G67" s="135"/>
      <c r="H67" s="69" t="s">
        <v>171</v>
      </c>
      <c r="I67" s="69" t="s">
        <v>221</v>
      </c>
      <c r="J67" s="69" t="s">
        <v>227</v>
      </c>
      <c r="K67" s="69" t="s">
        <v>440</v>
      </c>
    </row>
    <row r="68" spans="2:11" ht="19.5" customHeight="1" x14ac:dyDescent="0.25">
      <c r="B68" s="93">
        <v>61</v>
      </c>
      <c r="C68" s="67" t="s">
        <v>246</v>
      </c>
      <c r="D68" s="67" t="s">
        <v>251</v>
      </c>
      <c r="E68" s="22" t="s">
        <v>248</v>
      </c>
      <c r="F68" s="29">
        <v>27.48</v>
      </c>
      <c r="G68" s="134"/>
      <c r="H68" s="67" t="s">
        <v>171</v>
      </c>
      <c r="I68" s="67" t="s">
        <v>443</v>
      </c>
      <c r="J68" s="67" t="s">
        <v>227</v>
      </c>
      <c r="K68" s="67" t="s">
        <v>444</v>
      </c>
    </row>
    <row r="69" spans="2:11" ht="19.5" customHeight="1" x14ac:dyDescent="0.25">
      <c r="B69" s="96">
        <v>62</v>
      </c>
      <c r="C69" s="69" t="s">
        <v>246</v>
      </c>
      <c r="D69" s="69" t="s">
        <v>251</v>
      </c>
      <c r="E69" s="26" t="s">
        <v>250</v>
      </c>
      <c r="F69" s="31">
        <v>179</v>
      </c>
      <c r="G69" s="135"/>
      <c r="H69" s="69" t="s">
        <v>171</v>
      </c>
      <c r="I69" s="69" t="s">
        <v>221</v>
      </c>
      <c r="J69" s="69" t="s">
        <v>227</v>
      </c>
      <c r="K69" s="69" t="s">
        <v>444</v>
      </c>
    </row>
    <row r="70" spans="2:11" ht="25.5" customHeight="1" x14ac:dyDescent="0.25">
      <c r="B70" s="2" t="s">
        <v>460</v>
      </c>
      <c r="C70" s="2"/>
      <c r="D70" s="2"/>
      <c r="F70" s="137">
        <v>21790.639999999999</v>
      </c>
      <c r="G70" s="138">
        <v>12675.48</v>
      </c>
    </row>
    <row r="72" spans="2:11" ht="25.5" customHeight="1" x14ac:dyDescent="0.25">
      <c r="B72" s="221" t="s">
        <v>461</v>
      </c>
      <c r="C72" s="221"/>
      <c r="D72" s="221"/>
      <c r="E72" s="221"/>
      <c r="F72" s="221"/>
    </row>
    <row r="73" spans="2:11" ht="21.75" customHeight="1" x14ac:dyDescent="0.25">
      <c r="B73" s="21" t="s">
        <v>11</v>
      </c>
      <c r="C73" s="21" t="s">
        <v>462</v>
      </c>
      <c r="D73" s="21" t="s">
        <v>463</v>
      </c>
      <c r="E73" s="21" t="s">
        <v>464</v>
      </c>
      <c r="F73" s="21" t="s">
        <v>465</v>
      </c>
    </row>
    <row r="74" spans="2:11" ht="19.5" customHeight="1" x14ac:dyDescent="0.25">
      <c r="B74" s="67" t="s">
        <v>171</v>
      </c>
      <c r="C74" s="122">
        <v>37</v>
      </c>
      <c r="D74" s="75">
        <v>13253.4</v>
      </c>
      <c r="E74" s="24">
        <v>0.60821527040968104</v>
      </c>
      <c r="F74" s="67" t="s">
        <v>226</v>
      </c>
    </row>
    <row r="75" spans="2:11" ht="19.5" customHeight="1" x14ac:dyDescent="0.25">
      <c r="B75" s="69" t="s">
        <v>167</v>
      </c>
      <c r="C75" s="125">
        <v>6</v>
      </c>
      <c r="D75" s="80">
        <v>4241.3900000000003</v>
      </c>
      <c r="E75" s="28">
        <v>0.194642745692646</v>
      </c>
      <c r="F75" s="69" t="s">
        <v>266</v>
      </c>
    </row>
    <row r="76" spans="2:11" ht="19.5" customHeight="1" x14ac:dyDescent="0.25">
      <c r="B76" s="67" t="s">
        <v>29</v>
      </c>
      <c r="C76" s="122">
        <v>3</v>
      </c>
      <c r="D76" s="75">
        <v>1579</v>
      </c>
      <c r="E76" s="24">
        <v>7.2462304916239298E-2</v>
      </c>
      <c r="F76" s="67" t="s">
        <v>280</v>
      </c>
    </row>
    <row r="77" spans="2:11" ht="19.5" customHeight="1" x14ac:dyDescent="0.25">
      <c r="B77" s="69" t="s">
        <v>178</v>
      </c>
      <c r="C77" s="125">
        <v>1</v>
      </c>
      <c r="D77" s="80">
        <v>855.35</v>
      </c>
      <c r="E77" s="28">
        <v>3.9253092153328201E-2</v>
      </c>
      <c r="F77" s="69" t="s">
        <v>277</v>
      </c>
    </row>
    <row r="78" spans="2:11" ht="19.5" customHeight="1" x14ac:dyDescent="0.25">
      <c r="B78" s="67" t="s">
        <v>176</v>
      </c>
      <c r="C78" s="122">
        <v>1</v>
      </c>
      <c r="D78" s="75">
        <v>479</v>
      </c>
      <c r="E78" s="24">
        <v>2.1981915170917399E-2</v>
      </c>
      <c r="F78" s="67" t="s">
        <v>235</v>
      </c>
    </row>
    <row r="79" spans="2:11" ht="19.5" customHeight="1" x14ac:dyDescent="0.25">
      <c r="B79" s="69" t="s">
        <v>185</v>
      </c>
      <c r="C79" s="125">
        <v>2</v>
      </c>
      <c r="D79" s="80">
        <v>476</v>
      </c>
      <c r="E79" s="28">
        <v>2.18442413807029E-2</v>
      </c>
      <c r="F79" s="69" t="s">
        <v>298</v>
      </c>
    </row>
    <row r="80" spans="2:11" ht="19.5" customHeight="1" x14ac:dyDescent="0.25">
      <c r="B80" s="67" t="s">
        <v>244</v>
      </c>
      <c r="C80" s="122">
        <v>2</v>
      </c>
      <c r="D80" s="75">
        <v>416.5</v>
      </c>
      <c r="E80" s="24">
        <v>1.9113711208114999E-2</v>
      </c>
      <c r="F80" s="67" t="s">
        <v>243</v>
      </c>
    </row>
    <row r="81" spans="2:6" ht="19.5" customHeight="1" x14ac:dyDescent="0.25">
      <c r="B81" s="69" t="s">
        <v>174</v>
      </c>
      <c r="C81" s="125">
        <v>1</v>
      </c>
      <c r="D81" s="80">
        <v>329</v>
      </c>
      <c r="E81" s="28">
        <v>1.50982256601917E-2</v>
      </c>
      <c r="F81" s="69" t="s">
        <v>450</v>
      </c>
    </row>
    <row r="82" spans="2:6" ht="19.5" customHeight="1" x14ac:dyDescent="0.25">
      <c r="B82" s="67" t="s">
        <v>179</v>
      </c>
      <c r="C82" s="122">
        <v>1</v>
      </c>
      <c r="D82" s="75">
        <v>161</v>
      </c>
      <c r="E82" s="24">
        <v>7.3884934081789302E-3</v>
      </c>
      <c r="F82" s="67" t="s">
        <v>268</v>
      </c>
    </row>
  </sheetData>
  <mergeCells count="8">
    <mergeCell ref="B70:D70"/>
    <mergeCell ref="B72:F72"/>
    <mergeCell ref="B2:J2"/>
    <mergeCell ref="B3:J3"/>
    <mergeCell ref="B5:C5"/>
    <mergeCell ref="D5:E5"/>
    <mergeCell ref="F5:G5"/>
    <mergeCell ref="H5:I5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D7377"/>
  </sheetPr>
  <dimension ref="B1:H164"/>
  <sheetViews>
    <sheetView showGridLines="0" zoomScaleNormal="100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baseColWidth="10" defaultColWidth="8.7109375" defaultRowHeight="15" x14ac:dyDescent="0.25"/>
  <cols>
    <col min="1" max="1" width="3" customWidth="1"/>
    <col min="2" max="2" width="14" customWidth="1"/>
    <col min="3" max="3" width="16" customWidth="1"/>
    <col min="4" max="4" width="38" customWidth="1"/>
    <col min="5" max="5" width="12" customWidth="1"/>
    <col min="6" max="7" width="14" customWidth="1"/>
    <col min="8" max="8" width="22" customWidth="1"/>
    <col min="9" max="9" width="3" customWidth="1"/>
  </cols>
  <sheetData>
    <row r="1" spans="2:8" ht="7.5" customHeight="1" x14ac:dyDescent="0.25"/>
    <row r="2" spans="2:8" ht="48" customHeight="1" x14ac:dyDescent="0.25">
      <c r="B2" s="197" t="s">
        <v>466</v>
      </c>
      <c r="C2" s="197"/>
      <c r="D2" s="197"/>
      <c r="E2" s="197"/>
      <c r="F2" s="197"/>
      <c r="G2" s="197"/>
      <c r="H2" s="197"/>
    </row>
    <row r="3" spans="2:8" ht="21.75" customHeight="1" x14ac:dyDescent="0.25">
      <c r="B3" s="12" t="s">
        <v>467</v>
      </c>
      <c r="C3" s="12"/>
      <c r="D3" s="12"/>
      <c r="E3" s="12"/>
      <c r="F3" s="12"/>
      <c r="G3" s="12"/>
      <c r="H3" s="12"/>
    </row>
    <row r="4" spans="2:8" ht="7.5" customHeight="1" x14ac:dyDescent="0.25"/>
    <row r="5" spans="2:8" ht="39.75" customHeight="1" x14ac:dyDescent="0.25">
      <c r="B5" s="139" t="s">
        <v>468</v>
      </c>
      <c r="C5" s="140" t="s">
        <v>469</v>
      </c>
      <c r="D5" s="141" t="s">
        <v>470</v>
      </c>
      <c r="E5" s="142" t="s">
        <v>471</v>
      </c>
    </row>
    <row r="6" spans="2:8" ht="7.5" customHeight="1" x14ac:dyDescent="0.25"/>
    <row r="7" spans="2:8" ht="25.5" customHeight="1" x14ac:dyDescent="0.25">
      <c r="B7" s="21" t="s">
        <v>208</v>
      </c>
      <c r="C7" s="21" t="s">
        <v>472</v>
      </c>
      <c r="D7" s="21" t="s">
        <v>473</v>
      </c>
      <c r="E7" s="21" t="s">
        <v>474</v>
      </c>
      <c r="F7" s="21" t="s">
        <v>475</v>
      </c>
      <c r="G7" s="21" t="s">
        <v>476</v>
      </c>
      <c r="H7" s="21" t="s">
        <v>11</v>
      </c>
    </row>
    <row r="8" spans="2:8" ht="18.75" customHeight="1" x14ac:dyDescent="0.25">
      <c r="B8" s="22" t="s">
        <v>229</v>
      </c>
      <c r="C8" s="143" t="s">
        <v>32</v>
      </c>
      <c r="D8" s="22" t="s">
        <v>477</v>
      </c>
      <c r="E8" s="144">
        <v>1</v>
      </c>
      <c r="F8" s="95">
        <v>189</v>
      </c>
      <c r="G8" s="145">
        <v>189</v>
      </c>
      <c r="H8" s="22" t="s">
        <v>478</v>
      </c>
    </row>
    <row r="9" spans="2:8" ht="18.75" customHeight="1" x14ac:dyDescent="0.25">
      <c r="B9" s="26" t="s">
        <v>229</v>
      </c>
      <c r="C9" s="146" t="s">
        <v>32</v>
      </c>
      <c r="D9" s="26" t="s">
        <v>479</v>
      </c>
      <c r="E9" s="147">
        <v>1</v>
      </c>
      <c r="F9" s="98">
        <v>148</v>
      </c>
      <c r="G9" s="148">
        <v>148</v>
      </c>
      <c r="H9" s="26" t="s">
        <v>480</v>
      </c>
    </row>
    <row r="10" spans="2:8" ht="18.75" customHeight="1" x14ac:dyDescent="0.25">
      <c r="B10" s="22" t="s">
        <v>229</v>
      </c>
      <c r="C10" s="143" t="s">
        <v>32</v>
      </c>
      <c r="D10" s="22" t="s">
        <v>481</v>
      </c>
      <c r="E10" s="144">
        <v>1</v>
      </c>
      <c r="F10" s="95">
        <v>89</v>
      </c>
      <c r="G10" s="145">
        <v>89</v>
      </c>
      <c r="H10" s="22" t="s">
        <v>480</v>
      </c>
    </row>
    <row r="11" spans="2:8" ht="18.75" customHeight="1" x14ac:dyDescent="0.25">
      <c r="B11" s="26" t="s">
        <v>229</v>
      </c>
      <c r="C11" s="146" t="s">
        <v>32</v>
      </c>
      <c r="D11" s="26" t="s">
        <v>482</v>
      </c>
      <c r="E11" s="147">
        <v>2</v>
      </c>
      <c r="F11" s="98">
        <v>45</v>
      </c>
      <c r="G11" s="148">
        <v>90</v>
      </c>
      <c r="H11" s="26" t="s">
        <v>483</v>
      </c>
    </row>
    <row r="12" spans="2:8" ht="18.75" customHeight="1" x14ac:dyDescent="0.25">
      <c r="B12" s="22" t="s">
        <v>229</v>
      </c>
      <c r="C12" s="143" t="s">
        <v>32</v>
      </c>
      <c r="D12" s="22" t="s">
        <v>484</v>
      </c>
      <c r="E12" s="144">
        <v>1</v>
      </c>
      <c r="F12" s="95">
        <v>189</v>
      </c>
      <c r="G12" s="145">
        <v>189</v>
      </c>
      <c r="H12" s="22" t="s">
        <v>485</v>
      </c>
    </row>
    <row r="13" spans="2:8" ht="18.75" customHeight="1" x14ac:dyDescent="0.25">
      <c r="B13" s="26" t="s">
        <v>229</v>
      </c>
      <c r="C13" s="146" t="s">
        <v>32</v>
      </c>
      <c r="D13" s="26" t="s">
        <v>486</v>
      </c>
      <c r="E13" s="147">
        <v>1</v>
      </c>
      <c r="F13" s="98">
        <v>87.6</v>
      </c>
      <c r="G13" s="148">
        <v>87.6</v>
      </c>
      <c r="H13" s="26" t="s">
        <v>487</v>
      </c>
    </row>
    <row r="14" spans="2:8" ht="18.75" customHeight="1" x14ac:dyDescent="0.25">
      <c r="B14" s="22" t="s">
        <v>229</v>
      </c>
      <c r="C14" s="143" t="s">
        <v>32</v>
      </c>
      <c r="D14" s="22" t="s">
        <v>488</v>
      </c>
      <c r="E14" s="144">
        <v>1</v>
      </c>
      <c r="F14" s="95">
        <v>98</v>
      </c>
      <c r="G14" s="145">
        <v>98</v>
      </c>
      <c r="H14" s="22" t="s">
        <v>480</v>
      </c>
    </row>
    <row r="15" spans="2:8" ht="18.75" customHeight="1" x14ac:dyDescent="0.25">
      <c r="B15" s="26" t="s">
        <v>229</v>
      </c>
      <c r="C15" s="146" t="s">
        <v>32</v>
      </c>
      <c r="D15" s="26" t="s">
        <v>489</v>
      </c>
      <c r="E15" s="147">
        <v>1</v>
      </c>
      <c r="F15" s="98">
        <v>145</v>
      </c>
      <c r="G15" s="148">
        <v>145</v>
      </c>
      <c r="H15" s="26" t="s">
        <v>478</v>
      </c>
    </row>
    <row r="16" spans="2:8" ht="18.75" customHeight="1" x14ac:dyDescent="0.25">
      <c r="B16" s="22" t="s">
        <v>229</v>
      </c>
      <c r="C16" s="143" t="s">
        <v>32</v>
      </c>
      <c r="D16" s="22" t="s">
        <v>490</v>
      </c>
      <c r="E16" s="144">
        <v>1</v>
      </c>
      <c r="F16" s="95">
        <v>206</v>
      </c>
      <c r="G16" s="145">
        <v>206</v>
      </c>
      <c r="H16" s="22" t="s">
        <v>485</v>
      </c>
    </row>
    <row r="17" spans="2:8" ht="18.75" customHeight="1" x14ac:dyDescent="0.25">
      <c r="B17" s="26" t="s">
        <v>251</v>
      </c>
      <c r="C17" s="146" t="s">
        <v>32</v>
      </c>
      <c r="D17" s="26" t="s">
        <v>477</v>
      </c>
      <c r="E17" s="147">
        <v>1</v>
      </c>
      <c r="F17" s="98">
        <v>195</v>
      </c>
      <c r="G17" s="148">
        <v>195</v>
      </c>
      <c r="H17" s="26" t="s">
        <v>478</v>
      </c>
    </row>
    <row r="18" spans="2:8" ht="18.75" customHeight="1" x14ac:dyDescent="0.25">
      <c r="B18" s="22" t="s">
        <v>251</v>
      </c>
      <c r="C18" s="143" t="s">
        <v>32</v>
      </c>
      <c r="D18" s="22" t="s">
        <v>491</v>
      </c>
      <c r="E18" s="144">
        <v>1</v>
      </c>
      <c r="F18" s="95">
        <v>148</v>
      </c>
      <c r="G18" s="145">
        <v>148</v>
      </c>
      <c r="H18" s="22" t="s">
        <v>480</v>
      </c>
    </row>
    <row r="19" spans="2:8" ht="18.75" customHeight="1" x14ac:dyDescent="0.25">
      <c r="B19" s="26" t="s">
        <v>251</v>
      </c>
      <c r="C19" s="146" t="s">
        <v>32</v>
      </c>
      <c r="D19" s="26" t="s">
        <v>492</v>
      </c>
      <c r="E19" s="147">
        <v>1</v>
      </c>
      <c r="F19" s="98">
        <v>89</v>
      </c>
      <c r="G19" s="148">
        <v>89</v>
      </c>
      <c r="H19" s="26" t="s">
        <v>483</v>
      </c>
    </row>
    <row r="20" spans="2:8" ht="18.75" customHeight="1" x14ac:dyDescent="0.25">
      <c r="B20" s="22" t="s">
        <v>251</v>
      </c>
      <c r="C20" s="143" t="s">
        <v>32</v>
      </c>
      <c r="D20" s="22" t="s">
        <v>493</v>
      </c>
      <c r="E20" s="144">
        <v>2</v>
      </c>
      <c r="F20" s="95">
        <v>45</v>
      </c>
      <c r="G20" s="145">
        <v>90</v>
      </c>
      <c r="H20" s="22" t="s">
        <v>480</v>
      </c>
    </row>
    <row r="21" spans="2:8" ht="18.75" customHeight="1" x14ac:dyDescent="0.25">
      <c r="B21" s="26" t="s">
        <v>251</v>
      </c>
      <c r="C21" s="146" t="s">
        <v>32</v>
      </c>
      <c r="D21" s="26" t="s">
        <v>494</v>
      </c>
      <c r="E21" s="147">
        <v>1</v>
      </c>
      <c r="F21" s="98">
        <v>66</v>
      </c>
      <c r="G21" s="148">
        <v>66</v>
      </c>
      <c r="H21" s="26" t="s">
        <v>495</v>
      </c>
    </row>
    <row r="22" spans="2:8" ht="18.75" customHeight="1" x14ac:dyDescent="0.25">
      <c r="B22" s="22" t="s">
        <v>294</v>
      </c>
      <c r="C22" s="143" t="s">
        <v>32</v>
      </c>
      <c r="D22" s="22" t="s">
        <v>496</v>
      </c>
      <c r="E22" s="144">
        <v>1</v>
      </c>
      <c r="F22" s="95">
        <v>289</v>
      </c>
      <c r="G22" s="145">
        <v>289</v>
      </c>
      <c r="H22" s="22" t="s">
        <v>478</v>
      </c>
    </row>
    <row r="23" spans="2:8" ht="18.75" customHeight="1" x14ac:dyDescent="0.25">
      <c r="B23" s="26" t="s">
        <v>294</v>
      </c>
      <c r="C23" s="146" t="s">
        <v>32</v>
      </c>
      <c r="D23" s="26" t="s">
        <v>477</v>
      </c>
      <c r="E23" s="147">
        <v>2</v>
      </c>
      <c r="F23" s="98">
        <v>195</v>
      </c>
      <c r="G23" s="148">
        <v>390</v>
      </c>
      <c r="H23" s="26" t="s">
        <v>478</v>
      </c>
    </row>
    <row r="24" spans="2:8" ht="18.75" customHeight="1" x14ac:dyDescent="0.25">
      <c r="B24" s="22" t="s">
        <v>294</v>
      </c>
      <c r="C24" s="143" t="s">
        <v>32</v>
      </c>
      <c r="D24" s="22" t="s">
        <v>497</v>
      </c>
      <c r="E24" s="144">
        <v>1</v>
      </c>
      <c r="F24" s="95">
        <v>398</v>
      </c>
      <c r="G24" s="145">
        <v>398</v>
      </c>
      <c r="H24" s="22" t="s">
        <v>478</v>
      </c>
    </row>
    <row r="25" spans="2:8" ht="18.75" customHeight="1" x14ac:dyDescent="0.25">
      <c r="B25" s="26" t="s">
        <v>294</v>
      </c>
      <c r="C25" s="146" t="s">
        <v>32</v>
      </c>
      <c r="D25" s="26" t="s">
        <v>479</v>
      </c>
      <c r="E25" s="147">
        <v>1</v>
      </c>
      <c r="F25" s="98">
        <v>148</v>
      </c>
      <c r="G25" s="148">
        <v>148</v>
      </c>
      <c r="H25" s="26" t="s">
        <v>480</v>
      </c>
    </row>
    <row r="26" spans="2:8" ht="18.75" customHeight="1" x14ac:dyDescent="0.25">
      <c r="B26" s="22" t="s">
        <v>294</v>
      </c>
      <c r="C26" s="143" t="s">
        <v>32</v>
      </c>
      <c r="D26" s="22" t="s">
        <v>481</v>
      </c>
      <c r="E26" s="144">
        <v>2</v>
      </c>
      <c r="F26" s="95">
        <v>89</v>
      </c>
      <c r="G26" s="145">
        <v>178</v>
      </c>
      <c r="H26" s="22" t="s">
        <v>480</v>
      </c>
    </row>
    <row r="27" spans="2:8" ht="18.75" customHeight="1" x14ac:dyDescent="0.25">
      <c r="B27" s="26" t="s">
        <v>294</v>
      </c>
      <c r="C27" s="146" t="s">
        <v>32</v>
      </c>
      <c r="D27" s="26" t="s">
        <v>484</v>
      </c>
      <c r="E27" s="147">
        <v>1</v>
      </c>
      <c r="F27" s="98">
        <v>189</v>
      </c>
      <c r="G27" s="148">
        <v>189</v>
      </c>
      <c r="H27" s="26" t="s">
        <v>485</v>
      </c>
    </row>
    <row r="28" spans="2:8" ht="18.75" customHeight="1" x14ac:dyDescent="0.25">
      <c r="B28" s="22" t="s">
        <v>294</v>
      </c>
      <c r="C28" s="143" t="s">
        <v>32</v>
      </c>
      <c r="D28" s="22" t="s">
        <v>491</v>
      </c>
      <c r="E28" s="144">
        <v>1</v>
      </c>
      <c r="F28" s="95">
        <v>148</v>
      </c>
      <c r="G28" s="145">
        <v>148</v>
      </c>
      <c r="H28" s="22" t="s">
        <v>480</v>
      </c>
    </row>
    <row r="29" spans="2:8" ht="18.75" customHeight="1" x14ac:dyDescent="0.25">
      <c r="B29" s="26" t="s">
        <v>294</v>
      </c>
      <c r="C29" s="146" t="s">
        <v>32</v>
      </c>
      <c r="D29" s="26" t="s">
        <v>486</v>
      </c>
      <c r="E29" s="147">
        <v>1</v>
      </c>
      <c r="F29" s="98">
        <v>87.6</v>
      </c>
      <c r="G29" s="148">
        <v>87.6</v>
      </c>
      <c r="H29" s="26" t="s">
        <v>487</v>
      </c>
    </row>
    <row r="30" spans="2:8" ht="18.75" customHeight="1" x14ac:dyDescent="0.25">
      <c r="B30" s="22" t="s">
        <v>294</v>
      </c>
      <c r="C30" s="143" t="s">
        <v>32</v>
      </c>
      <c r="D30" s="22" t="s">
        <v>490</v>
      </c>
      <c r="E30" s="144">
        <v>1</v>
      </c>
      <c r="F30" s="95">
        <v>206</v>
      </c>
      <c r="G30" s="145">
        <v>206</v>
      </c>
      <c r="H30" s="22" t="s">
        <v>485</v>
      </c>
    </row>
    <row r="31" spans="2:8" ht="18.75" customHeight="1" x14ac:dyDescent="0.25">
      <c r="B31" s="26" t="s">
        <v>294</v>
      </c>
      <c r="C31" s="146" t="s">
        <v>32</v>
      </c>
      <c r="D31" s="26" t="s">
        <v>498</v>
      </c>
      <c r="E31" s="147">
        <v>2</v>
      </c>
      <c r="F31" s="98">
        <v>98</v>
      </c>
      <c r="G31" s="148">
        <v>196</v>
      </c>
      <c r="H31" s="26" t="s">
        <v>499</v>
      </c>
    </row>
    <row r="32" spans="2:8" ht="18.75" customHeight="1" x14ac:dyDescent="0.25">
      <c r="B32" s="22" t="s">
        <v>294</v>
      </c>
      <c r="C32" s="143" t="s">
        <v>32</v>
      </c>
      <c r="D32" s="22" t="s">
        <v>488</v>
      </c>
      <c r="E32" s="144">
        <v>1</v>
      </c>
      <c r="F32" s="95">
        <v>98</v>
      </c>
      <c r="G32" s="145">
        <v>98</v>
      </c>
      <c r="H32" s="22" t="s">
        <v>480</v>
      </c>
    </row>
    <row r="33" spans="2:8" ht="18.75" customHeight="1" x14ac:dyDescent="0.25">
      <c r="B33" s="26" t="s">
        <v>294</v>
      </c>
      <c r="C33" s="146" t="s">
        <v>32</v>
      </c>
      <c r="D33" s="26" t="s">
        <v>500</v>
      </c>
      <c r="E33" s="147">
        <v>1</v>
      </c>
      <c r="F33" s="98">
        <v>189</v>
      </c>
      <c r="G33" s="148">
        <v>189</v>
      </c>
      <c r="H33" s="26" t="s">
        <v>487</v>
      </c>
    </row>
    <row r="34" spans="2:8" ht="18.75" customHeight="1" x14ac:dyDescent="0.25">
      <c r="B34" s="22" t="s">
        <v>294</v>
      </c>
      <c r="C34" s="143" t="s">
        <v>32</v>
      </c>
      <c r="D34" s="22" t="s">
        <v>494</v>
      </c>
      <c r="E34" s="144">
        <v>2</v>
      </c>
      <c r="F34" s="95">
        <v>66</v>
      </c>
      <c r="G34" s="145">
        <v>132</v>
      </c>
      <c r="H34" s="22" t="s">
        <v>495</v>
      </c>
    </row>
    <row r="35" spans="2:8" ht="18.75" customHeight="1" x14ac:dyDescent="0.25">
      <c r="B35" s="26" t="s">
        <v>294</v>
      </c>
      <c r="C35" s="146" t="s">
        <v>32</v>
      </c>
      <c r="D35" s="26" t="s">
        <v>501</v>
      </c>
      <c r="E35" s="147">
        <v>1</v>
      </c>
      <c r="F35" s="98">
        <v>69.900000000000006</v>
      </c>
      <c r="G35" s="148">
        <v>69.900000000000006</v>
      </c>
      <c r="H35" s="26" t="s">
        <v>483</v>
      </c>
    </row>
    <row r="36" spans="2:8" ht="18.75" customHeight="1" x14ac:dyDescent="0.25">
      <c r="B36" s="22" t="s">
        <v>236</v>
      </c>
      <c r="C36" s="143" t="s">
        <v>502</v>
      </c>
      <c r="D36" s="22" t="s">
        <v>503</v>
      </c>
      <c r="E36" s="144">
        <v>1</v>
      </c>
      <c r="F36" s="95">
        <v>32</v>
      </c>
      <c r="G36" s="145">
        <v>32</v>
      </c>
      <c r="H36" s="22" t="s">
        <v>504</v>
      </c>
    </row>
    <row r="37" spans="2:8" ht="18.75" customHeight="1" x14ac:dyDescent="0.25">
      <c r="B37" s="26" t="s">
        <v>236</v>
      </c>
      <c r="C37" s="146" t="s">
        <v>502</v>
      </c>
      <c r="D37" s="26" t="s">
        <v>505</v>
      </c>
      <c r="E37" s="147">
        <v>1</v>
      </c>
      <c r="F37" s="98">
        <v>18</v>
      </c>
      <c r="G37" s="148">
        <v>18</v>
      </c>
      <c r="H37" s="26" t="s">
        <v>504</v>
      </c>
    </row>
    <row r="38" spans="2:8" ht="18.75" customHeight="1" x14ac:dyDescent="0.25">
      <c r="B38" s="22" t="s">
        <v>236</v>
      </c>
      <c r="C38" s="143" t="s">
        <v>502</v>
      </c>
      <c r="D38" s="22" t="s">
        <v>506</v>
      </c>
      <c r="E38" s="144">
        <v>2</v>
      </c>
      <c r="F38" s="95">
        <v>22</v>
      </c>
      <c r="G38" s="145">
        <v>44</v>
      </c>
      <c r="H38" s="22" t="s">
        <v>504</v>
      </c>
    </row>
    <row r="39" spans="2:8" ht="18.75" customHeight="1" x14ac:dyDescent="0.25">
      <c r="B39" s="26" t="s">
        <v>236</v>
      </c>
      <c r="C39" s="146" t="s">
        <v>502</v>
      </c>
      <c r="D39" s="26" t="s">
        <v>507</v>
      </c>
      <c r="E39" s="147">
        <v>1</v>
      </c>
      <c r="F39" s="98">
        <v>25</v>
      </c>
      <c r="G39" s="148">
        <v>25</v>
      </c>
      <c r="H39" s="26" t="s">
        <v>504</v>
      </c>
    </row>
    <row r="40" spans="2:8" ht="18.75" customHeight="1" x14ac:dyDescent="0.25">
      <c r="B40" s="22" t="s">
        <v>236</v>
      </c>
      <c r="C40" s="143" t="s">
        <v>502</v>
      </c>
      <c r="D40" s="22" t="s">
        <v>508</v>
      </c>
      <c r="E40" s="144">
        <v>1</v>
      </c>
      <c r="F40" s="95">
        <v>89</v>
      </c>
      <c r="G40" s="145">
        <v>89</v>
      </c>
      <c r="H40" s="22" t="s">
        <v>504</v>
      </c>
    </row>
    <row r="41" spans="2:8" ht="18.75" customHeight="1" x14ac:dyDescent="0.25">
      <c r="B41" s="26" t="s">
        <v>236</v>
      </c>
      <c r="C41" s="146" t="s">
        <v>502</v>
      </c>
      <c r="D41" s="26" t="s">
        <v>509</v>
      </c>
      <c r="E41" s="147">
        <v>2</v>
      </c>
      <c r="F41" s="98">
        <v>45</v>
      </c>
      <c r="G41" s="148">
        <v>90</v>
      </c>
      <c r="H41" s="26" t="s">
        <v>478</v>
      </c>
    </row>
    <row r="42" spans="2:8" ht="18.75" customHeight="1" x14ac:dyDescent="0.25">
      <c r="B42" s="22" t="s">
        <v>236</v>
      </c>
      <c r="C42" s="143" t="s">
        <v>502</v>
      </c>
      <c r="D42" s="22" t="s">
        <v>510</v>
      </c>
      <c r="E42" s="144">
        <v>3</v>
      </c>
      <c r="F42" s="95">
        <v>22</v>
      </c>
      <c r="G42" s="145">
        <v>66</v>
      </c>
      <c r="H42" s="22" t="s">
        <v>485</v>
      </c>
    </row>
    <row r="43" spans="2:8" ht="18.75" customHeight="1" x14ac:dyDescent="0.25">
      <c r="B43" s="26" t="s">
        <v>236</v>
      </c>
      <c r="C43" s="146" t="s">
        <v>502</v>
      </c>
      <c r="D43" s="26" t="s">
        <v>511</v>
      </c>
      <c r="E43" s="147">
        <v>2</v>
      </c>
      <c r="F43" s="98">
        <v>32</v>
      </c>
      <c r="G43" s="148">
        <v>64</v>
      </c>
      <c r="H43" s="26" t="s">
        <v>485</v>
      </c>
    </row>
    <row r="44" spans="2:8" ht="18.75" customHeight="1" x14ac:dyDescent="0.25">
      <c r="B44" s="22" t="s">
        <v>236</v>
      </c>
      <c r="C44" s="143" t="s">
        <v>502</v>
      </c>
      <c r="D44" s="22" t="s">
        <v>512</v>
      </c>
      <c r="E44" s="144">
        <v>3</v>
      </c>
      <c r="F44" s="95">
        <v>29</v>
      </c>
      <c r="G44" s="145">
        <v>87</v>
      </c>
      <c r="H44" s="22" t="s">
        <v>478</v>
      </c>
    </row>
    <row r="45" spans="2:8" ht="18.75" customHeight="1" x14ac:dyDescent="0.25">
      <c r="B45" s="26" t="s">
        <v>236</v>
      </c>
      <c r="C45" s="146" t="s">
        <v>502</v>
      </c>
      <c r="D45" s="26" t="s">
        <v>513</v>
      </c>
      <c r="E45" s="147">
        <v>2</v>
      </c>
      <c r="F45" s="98">
        <v>35</v>
      </c>
      <c r="G45" s="148">
        <v>70</v>
      </c>
      <c r="H45" s="26" t="s">
        <v>499</v>
      </c>
    </row>
    <row r="46" spans="2:8" ht="18.75" customHeight="1" x14ac:dyDescent="0.25">
      <c r="B46" s="22" t="s">
        <v>236</v>
      </c>
      <c r="C46" s="143" t="s">
        <v>502</v>
      </c>
      <c r="D46" s="22" t="s">
        <v>514</v>
      </c>
      <c r="E46" s="144">
        <v>2</v>
      </c>
      <c r="F46" s="95">
        <v>18</v>
      </c>
      <c r="G46" s="145">
        <v>36</v>
      </c>
      <c r="H46" s="22" t="s">
        <v>485</v>
      </c>
    </row>
    <row r="47" spans="2:8" ht="18.75" customHeight="1" x14ac:dyDescent="0.25">
      <c r="B47" s="26" t="s">
        <v>236</v>
      </c>
      <c r="C47" s="146" t="s">
        <v>502</v>
      </c>
      <c r="D47" s="26" t="s">
        <v>515</v>
      </c>
      <c r="E47" s="147">
        <v>2</v>
      </c>
      <c r="F47" s="98">
        <v>31</v>
      </c>
      <c r="G47" s="148">
        <v>62</v>
      </c>
      <c r="H47" s="26" t="s">
        <v>504</v>
      </c>
    </row>
    <row r="48" spans="2:8" ht="18.75" customHeight="1" x14ac:dyDescent="0.25">
      <c r="B48" s="22" t="s">
        <v>222</v>
      </c>
      <c r="C48" s="143" t="s">
        <v>26</v>
      </c>
      <c r="D48" s="22" t="s">
        <v>516</v>
      </c>
      <c r="E48" s="144">
        <v>2</v>
      </c>
      <c r="F48" s="95">
        <v>19</v>
      </c>
      <c r="G48" s="145">
        <v>38</v>
      </c>
      <c r="H48" s="22" t="s">
        <v>495</v>
      </c>
    </row>
    <row r="49" spans="2:8" ht="18.75" customHeight="1" x14ac:dyDescent="0.25">
      <c r="B49" s="26" t="s">
        <v>222</v>
      </c>
      <c r="C49" s="146" t="s">
        <v>26</v>
      </c>
      <c r="D49" s="26" t="s">
        <v>517</v>
      </c>
      <c r="E49" s="147">
        <v>3</v>
      </c>
      <c r="F49" s="98">
        <v>18</v>
      </c>
      <c r="G49" s="148">
        <v>54</v>
      </c>
      <c r="H49" s="26" t="s">
        <v>518</v>
      </c>
    </row>
    <row r="50" spans="2:8" ht="18.75" customHeight="1" x14ac:dyDescent="0.25">
      <c r="B50" s="22" t="s">
        <v>222</v>
      </c>
      <c r="C50" s="143" t="s">
        <v>26</v>
      </c>
      <c r="D50" s="22" t="s">
        <v>519</v>
      </c>
      <c r="E50" s="144">
        <v>4</v>
      </c>
      <c r="F50" s="95">
        <v>12</v>
      </c>
      <c r="G50" s="145">
        <v>48</v>
      </c>
      <c r="H50" s="22" t="s">
        <v>485</v>
      </c>
    </row>
    <row r="51" spans="2:8" ht="18.75" customHeight="1" x14ac:dyDescent="0.25">
      <c r="B51" s="26" t="s">
        <v>222</v>
      </c>
      <c r="C51" s="146" t="s">
        <v>26</v>
      </c>
      <c r="D51" s="26" t="s">
        <v>520</v>
      </c>
      <c r="E51" s="147">
        <v>1</v>
      </c>
      <c r="F51" s="98">
        <v>42</v>
      </c>
      <c r="G51" s="148">
        <v>42</v>
      </c>
      <c r="H51" s="26" t="s">
        <v>521</v>
      </c>
    </row>
    <row r="52" spans="2:8" ht="18.75" customHeight="1" x14ac:dyDescent="0.25">
      <c r="B52" s="22" t="s">
        <v>222</v>
      </c>
      <c r="C52" s="143" t="s">
        <v>26</v>
      </c>
      <c r="D52" s="22" t="s">
        <v>522</v>
      </c>
      <c r="E52" s="144">
        <v>2</v>
      </c>
      <c r="F52" s="95">
        <v>6</v>
      </c>
      <c r="G52" s="145">
        <v>12</v>
      </c>
      <c r="H52" s="22" t="s">
        <v>521</v>
      </c>
    </row>
    <row r="53" spans="2:8" ht="18.75" customHeight="1" x14ac:dyDescent="0.25">
      <c r="B53" s="26" t="s">
        <v>229</v>
      </c>
      <c r="C53" s="146" t="s">
        <v>26</v>
      </c>
      <c r="D53" s="26" t="s">
        <v>523</v>
      </c>
      <c r="E53" s="147">
        <v>2</v>
      </c>
      <c r="F53" s="98">
        <v>22</v>
      </c>
      <c r="G53" s="148">
        <v>44</v>
      </c>
      <c r="H53" s="26" t="s">
        <v>478</v>
      </c>
    </row>
    <row r="54" spans="2:8" ht="18.75" customHeight="1" x14ac:dyDescent="0.25">
      <c r="B54" s="22" t="s">
        <v>229</v>
      </c>
      <c r="C54" s="143" t="s">
        <v>26</v>
      </c>
      <c r="D54" s="22" t="s">
        <v>524</v>
      </c>
      <c r="E54" s="144">
        <v>2</v>
      </c>
      <c r="F54" s="95">
        <v>18</v>
      </c>
      <c r="G54" s="145">
        <v>36</v>
      </c>
      <c r="H54" s="22" t="s">
        <v>518</v>
      </c>
    </row>
    <row r="55" spans="2:8" ht="18.75" customHeight="1" x14ac:dyDescent="0.25">
      <c r="B55" s="26" t="s">
        <v>229</v>
      </c>
      <c r="C55" s="146" t="s">
        <v>26</v>
      </c>
      <c r="D55" s="26" t="s">
        <v>525</v>
      </c>
      <c r="E55" s="147">
        <v>1</v>
      </c>
      <c r="F55" s="98">
        <v>18</v>
      </c>
      <c r="G55" s="148">
        <v>18</v>
      </c>
      <c r="H55" s="26" t="s">
        <v>521</v>
      </c>
    </row>
    <row r="56" spans="2:8" ht="18.75" customHeight="1" x14ac:dyDescent="0.25">
      <c r="B56" s="22" t="s">
        <v>256</v>
      </c>
      <c r="C56" s="143" t="s">
        <v>26</v>
      </c>
      <c r="D56" s="22" t="s">
        <v>526</v>
      </c>
      <c r="E56" s="144">
        <v>2</v>
      </c>
      <c r="F56" s="95">
        <v>20</v>
      </c>
      <c r="G56" s="145">
        <v>40</v>
      </c>
      <c r="H56" s="22" t="s">
        <v>478</v>
      </c>
    </row>
    <row r="57" spans="2:8" ht="18.75" customHeight="1" x14ac:dyDescent="0.25">
      <c r="B57" s="26" t="s">
        <v>256</v>
      </c>
      <c r="C57" s="146" t="s">
        <v>26</v>
      </c>
      <c r="D57" s="26" t="s">
        <v>527</v>
      </c>
      <c r="E57" s="147">
        <v>2</v>
      </c>
      <c r="F57" s="98">
        <v>18</v>
      </c>
      <c r="G57" s="148">
        <v>36</v>
      </c>
      <c r="H57" s="26" t="s">
        <v>504</v>
      </c>
    </row>
    <row r="58" spans="2:8" ht="18.75" customHeight="1" x14ac:dyDescent="0.25">
      <c r="B58" s="22" t="s">
        <v>256</v>
      </c>
      <c r="C58" s="143" t="s">
        <v>26</v>
      </c>
      <c r="D58" s="22" t="s">
        <v>528</v>
      </c>
      <c r="E58" s="144">
        <v>2</v>
      </c>
      <c r="F58" s="95">
        <v>11</v>
      </c>
      <c r="G58" s="145">
        <v>22</v>
      </c>
      <c r="H58" s="22" t="s">
        <v>485</v>
      </c>
    </row>
    <row r="59" spans="2:8" ht="24" customHeight="1" x14ac:dyDescent="0.25">
      <c r="B59" s="222" t="s">
        <v>251</v>
      </c>
      <c r="C59" s="222"/>
      <c r="D59" s="222"/>
      <c r="E59" s="222"/>
      <c r="F59" s="98">
        <v>438.87</v>
      </c>
      <c r="G59" s="148">
        <v>438.87</v>
      </c>
      <c r="H59" s="26" t="s">
        <v>487</v>
      </c>
    </row>
    <row r="60" spans="2:8" ht="15" customHeight="1" x14ac:dyDescent="0.25">
      <c r="B60" s="22" t="s">
        <v>251</v>
      </c>
      <c r="C60" s="143" t="s">
        <v>32</v>
      </c>
      <c r="D60" s="22" t="s">
        <v>529</v>
      </c>
      <c r="E60" s="144">
        <v>1</v>
      </c>
      <c r="F60" s="95">
        <v>162.65</v>
      </c>
      <c r="G60" s="145">
        <v>162.65</v>
      </c>
      <c r="H60" s="22" t="s">
        <v>485</v>
      </c>
    </row>
    <row r="61" spans="2:8" ht="15" customHeight="1" x14ac:dyDescent="0.25">
      <c r="B61" s="26" t="s">
        <v>357</v>
      </c>
      <c r="C61" s="146" t="s">
        <v>32</v>
      </c>
      <c r="D61" s="26" t="s">
        <v>530</v>
      </c>
      <c r="E61" s="147">
        <v>1</v>
      </c>
      <c r="F61" s="98">
        <v>305.87</v>
      </c>
      <c r="G61" s="148">
        <v>305.87</v>
      </c>
      <c r="H61" s="26" t="s">
        <v>480</v>
      </c>
    </row>
    <row r="62" spans="2:8" ht="15" customHeight="1" x14ac:dyDescent="0.25">
      <c r="B62" s="22" t="s">
        <v>357</v>
      </c>
      <c r="C62" s="143" t="s">
        <v>32</v>
      </c>
      <c r="D62" s="22" t="s">
        <v>531</v>
      </c>
      <c r="E62" s="144">
        <v>1</v>
      </c>
      <c r="F62" s="95">
        <v>408.18</v>
      </c>
      <c r="G62" s="145">
        <v>408.18</v>
      </c>
      <c r="H62" s="22" t="s">
        <v>487</v>
      </c>
    </row>
    <row r="63" spans="2:8" ht="15" customHeight="1" x14ac:dyDescent="0.25">
      <c r="B63" s="26" t="s">
        <v>357</v>
      </c>
      <c r="C63" s="146" t="s">
        <v>32</v>
      </c>
      <c r="D63" s="26" t="s">
        <v>532</v>
      </c>
      <c r="E63" s="147">
        <v>1</v>
      </c>
      <c r="F63" s="98">
        <v>71.5</v>
      </c>
      <c r="G63" s="148">
        <v>71.5</v>
      </c>
      <c r="H63" s="26" t="s">
        <v>485</v>
      </c>
    </row>
    <row r="64" spans="2:8" ht="15" customHeight="1" x14ac:dyDescent="0.25">
      <c r="B64" s="22" t="s">
        <v>357</v>
      </c>
      <c r="C64" s="143" t="s">
        <v>32</v>
      </c>
      <c r="D64" s="22" t="s">
        <v>533</v>
      </c>
      <c r="E64" s="144">
        <v>1</v>
      </c>
      <c r="F64" s="95">
        <v>193.34</v>
      </c>
      <c r="G64" s="145">
        <v>193.34</v>
      </c>
      <c r="H64" s="22" t="s">
        <v>483</v>
      </c>
    </row>
    <row r="65" spans="2:8" ht="15" customHeight="1" x14ac:dyDescent="0.25">
      <c r="B65" s="26" t="s">
        <v>357</v>
      </c>
      <c r="C65" s="146" t="s">
        <v>32</v>
      </c>
      <c r="D65" s="26" t="s">
        <v>534</v>
      </c>
      <c r="E65" s="147">
        <v>1</v>
      </c>
      <c r="F65" s="98">
        <v>131.96</v>
      </c>
      <c r="G65" s="148">
        <v>131.96</v>
      </c>
      <c r="H65" s="26" t="s">
        <v>518</v>
      </c>
    </row>
    <row r="66" spans="2:8" ht="15" customHeight="1" x14ac:dyDescent="0.25">
      <c r="B66" s="22" t="s">
        <v>357</v>
      </c>
      <c r="C66" s="143" t="s">
        <v>32</v>
      </c>
      <c r="D66" s="22" t="s">
        <v>535</v>
      </c>
      <c r="E66" s="144">
        <v>1</v>
      </c>
      <c r="F66" s="95">
        <v>102.19</v>
      </c>
      <c r="G66" s="145">
        <v>102.19</v>
      </c>
      <c r="H66" s="22" t="s">
        <v>485</v>
      </c>
    </row>
    <row r="67" spans="2:8" ht="15" customHeight="1" x14ac:dyDescent="0.25">
      <c r="B67" s="26" t="s">
        <v>357</v>
      </c>
      <c r="C67" s="146" t="s">
        <v>32</v>
      </c>
      <c r="D67" s="26" t="s">
        <v>536</v>
      </c>
      <c r="E67" s="147">
        <v>1</v>
      </c>
      <c r="F67" s="98">
        <v>203.57</v>
      </c>
      <c r="G67" s="148">
        <v>203.57</v>
      </c>
      <c r="H67" s="26" t="s">
        <v>485</v>
      </c>
    </row>
    <row r="68" spans="2:8" ht="15" customHeight="1" x14ac:dyDescent="0.25">
      <c r="B68" s="22" t="s">
        <v>357</v>
      </c>
      <c r="C68" s="143" t="s">
        <v>32</v>
      </c>
      <c r="D68" s="22" t="s">
        <v>537</v>
      </c>
      <c r="E68" s="144">
        <v>1</v>
      </c>
      <c r="F68" s="95">
        <v>102.19</v>
      </c>
      <c r="G68" s="145">
        <v>102.19</v>
      </c>
      <c r="H68" s="22" t="s">
        <v>504</v>
      </c>
    </row>
    <row r="69" spans="2:8" ht="15" customHeight="1" x14ac:dyDescent="0.25">
      <c r="B69" s="26" t="s">
        <v>357</v>
      </c>
      <c r="C69" s="146" t="s">
        <v>32</v>
      </c>
      <c r="D69" s="26" t="s">
        <v>538</v>
      </c>
      <c r="E69" s="147">
        <v>1</v>
      </c>
      <c r="F69" s="98">
        <v>162.65</v>
      </c>
      <c r="G69" s="148">
        <v>162.65</v>
      </c>
      <c r="H69" s="26" t="s">
        <v>485</v>
      </c>
    </row>
    <row r="70" spans="2:8" ht="15" customHeight="1" x14ac:dyDescent="0.25">
      <c r="B70" s="22" t="s">
        <v>357</v>
      </c>
      <c r="C70" s="143" t="s">
        <v>32</v>
      </c>
      <c r="D70" s="22" t="s">
        <v>539</v>
      </c>
      <c r="E70" s="144">
        <v>1</v>
      </c>
      <c r="F70" s="95">
        <v>183.11</v>
      </c>
      <c r="G70" s="145">
        <v>183.11</v>
      </c>
      <c r="H70" s="22" t="s">
        <v>478</v>
      </c>
    </row>
    <row r="71" spans="2:8" ht="15" customHeight="1" x14ac:dyDescent="0.25">
      <c r="B71" s="26" t="s">
        <v>357</v>
      </c>
      <c r="C71" s="146" t="s">
        <v>32</v>
      </c>
      <c r="D71" s="26" t="s">
        <v>540</v>
      </c>
      <c r="E71" s="147">
        <v>1</v>
      </c>
      <c r="F71" s="98">
        <v>346.79</v>
      </c>
      <c r="G71" s="148">
        <v>346.79</v>
      </c>
      <c r="H71" s="26" t="s">
        <v>499</v>
      </c>
    </row>
    <row r="72" spans="2:8" ht="15" customHeight="1" x14ac:dyDescent="0.25">
      <c r="B72" s="22" t="s">
        <v>357</v>
      </c>
      <c r="C72" s="143" t="s">
        <v>32</v>
      </c>
      <c r="D72" s="22" t="s">
        <v>541</v>
      </c>
      <c r="E72" s="144">
        <v>1</v>
      </c>
      <c r="F72" s="95">
        <v>131.96</v>
      </c>
      <c r="G72" s="145">
        <v>131.96</v>
      </c>
      <c r="H72" s="22" t="s">
        <v>504</v>
      </c>
    </row>
    <row r="73" spans="2:8" ht="15" customHeight="1" x14ac:dyDescent="0.25">
      <c r="B73" s="26" t="s">
        <v>357</v>
      </c>
      <c r="C73" s="146" t="s">
        <v>32</v>
      </c>
      <c r="D73" s="26" t="s">
        <v>542</v>
      </c>
      <c r="E73" s="147">
        <v>1</v>
      </c>
      <c r="F73" s="98">
        <v>142.19</v>
      </c>
      <c r="G73" s="148">
        <v>142.19</v>
      </c>
      <c r="H73" s="26" t="s">
        <v>504</v>
      </c>
    </row>
    <row r="74" spans="2:8" ht="15" customHeight="1" x14ac:dyDescent="0.25">
      <c r="B74" s="22" t="s">
        <v>357</v>
      </c>
      <c r="C74" s="143" t="s">
        <v>32</v>
      </c>
      <c r="D74" s="22" t="s">
        <v>543</v>
      </c>
      <c r="E74" s="144">
        <v>1</v>
      </c>
      <c r="F74" s="95">
        <v>162.65</v>
      </c>
      <c r="G74" s="145">
        <v>162.65</v>
      </c>
      <c r="H74" s="22" t="s">
        <v>504</v>
      </c>
    </row>
    <row r="75" spans="2:8" ht="15" customHeight="1" x14ac:dyDescent="0.25">
      <c r="B75" s="26" t="s">
        <v>357</v>
      </c>
      <c r="C75" s="146" t="s">
        <v>32</v>
      </c>
      <c r="D75" s="26" t="s">
        <v>544</v>
      </c>
      <c r="E75" s="147">
        <v>1</v>
      </c>
      <c r="F75" s="98">
        <v>203.57</v>
      </c>
      <c r="G75" s="148">
        <v>203.57</v>
      </c>
      <c r="H75" s="26" t="s">
        <v>518</v>
      </c>
    </row>
    <row r="76" spans="2:8" ht="15" customHeight="1" x14ac:dyDescent="0.25">
      <c r="B76" s="22" t="s">
        <v>357</v>
      </c>
      <c r="C76" s="143" t="s">
        <v>32</v>
      </c>
      <c r="D76" s="22" t="s">
        <v>545</v>
      </c>
      <c r="E76" s="144">
        <v>1</v>
      </c>
      <c r="F76" s="95">
        <v>280.42</v>
      </c>
      <c r="G76" s="145">
        <v>280.42</v>
      </c>
      <c r="H76" s="22" t="s">
        <v>478</v>
      </c>
    </row>
    <row r="77" spans="2:8" ht="15" customHeight="1" x14ac:dyDescent="0.25">
      <c r="B77" s="26" t="s">
        <v>357</v>
      </c>
      <c r="C77" s="146" t="s">
        <v>32</v>
      </c>
      <c r="D77" s="26" t="s">
        <v>546</v>
      </c>
      <c r="E77" s="147">
        <v>1</v>
      </c>
      <c r="F77" s="98">
        <v>81.73</v>
      </c>
      <c r="G77" s="148">
        <v>81.73</v>
      </c>
      <c r="H77" s="26" t="s">
        <v>483</v>
      </c>
    </row>
    <row r="78" spans="2:8" ht="15" customHeight="1" x14ac:dyDescent="0.25">
      <c r="B78" s="22" t="s">
        <v>357</v>
      </c>
      <c r="C78" s="143" t="s">
        <v>32</v>
      </c>
      <c r="D78" s="22" t="s">
        <v>547</v>
      </c>
      <c r="E78" s="144">
        <v>1</v>
      </c>
      <c r="F78" s="95">
        <v>249.4</v>
      </c>
      <c r="G78" s="145">
        <v>249.4</v>
      </c>
      <c r="H78" s="22" t="s">
        <v>478</v>
      </c>
    </row>
    <row r="79" spans="2:8" ht="15" customHeight="1" x14ac:dyDescent="0.25">
      <c r="B79" s="149" t="s">
        <v>357</v>
      </c>
      <c r="C79" s="150" t="s">
        <v>32</v>
      </c>
      <c r="D79" s="149" t="s">
        <v>548</v>
      </c>
      <c r="E79" s="151">
        <v>1</v>
      </c>
      <c r="F79" s="152">
        <v>-102.04</v>
      </c>
      <c r="G79" s="153">
        <v>-102.04</v>
      </c>
      <c r="H79" s="149" t="s">
        <v>549</v>
      </c>
    </row>
    <row r="80" spans="2:8" ht="15" customHeight="1" x14ac:dyDescent="0.25">
      <c r="B80" s="22" t="s">
        <v>357</v>
      </c>
      <c r="C80" s="143" t="s">
        <v>32</v>
      </c>
      <c r="D80" s="22" t="s">
        <v>550</v>
      </c>
      <c r="E80" s="144">
        <v>1</v>
      </c>
      <c r="F80" s="95">
        <v>163.46</v>
      </c>
      <c r="G80" s="145">
        <v>163.46</v>
      </c>
      <c r="H80" s="22" t="s">
        <v>483</v>
      </c>
    </row>
    <row r="81" spans="2:8" ht="15" customHeight="1" x14ac:dyDescent="0.25">
      <c r="B81" s="26" t="s">
        <v>357</v>
      </c>
      <c r="C81" s="146" t="s">
        <v>32</v>
      </c>
      <c r="D81" s="26" t="s">
        <v>551</v>
      </c>
      <c r="E81" s="147">
        <v>1</v>
      </c>
      <c r="F81" s="98">
        <v>377.48</v>
      </c>
      <c r="G81" s="148">
        <v>377.48</v>
      </c>
      <c r="H81" s="26" t="s">
        <v>478</v>
      </c>
    </row>
    <row r="82" spans="2:8" ht="15" customHeight="1" x14ac:dyDescent="0.25">
      <c r="B82" s="22" t="s">
        <v>357</v>
      </c>
      <c r="C82" s="143" t="s">
        <v>32</v>
      </c>
      <c r="D82" s="22" t="s">
        <v>552</v>
      </c>
      <c r="E82" s="144">
        <v>1</v>
      </c>
      <c r="F82" s="95">
        <v>219.94</v>
      </c>
      <c r="G82" s="145">
        <v>219.94</v>
      </c>
      <c r="H82" s="22" t="s">
        <v>495</v>
      </c>
    </row>
    <row r="83" spans="2:8" ht="15" customHeight="1" x14ac:dyDescent="0.25">
      <c r="B83" s="149" t="s">
        <v>357</v>
      </c>
      <c r="C83" s="150" t="s">
        <v>32</v>
      </c>
      <c r="D83" s="149" t="s">
        <v>553</v>
      </c>
      <c r="E83" s="151">
        <v>1</v>
      </c>
      <c r="F83" s="152">
        <v>-43.98</v>
      </c>
      <c r="G83" s="153">
        <v>-43.98</v>
      </c>
      <c r="H83" s="149" t="s">
        <v>549</v>
      </c>
    </row>
    <row r="84" spans="2:8" ht="15" customHeight="1" x14ac:dyDescent="0.25">
      <c r="B84" s="22" t="s">
        <v>357</v>
      </c>
      <c r="C84" s="143" t="s">
        <v>32</v>
      </c>
      <c r="D84" s="22" t="s">
        <v>554</v>
      </c>
      <c r="E84" s="144">
        <v>1</v>
      </c>
      <c r="F84" s="95">
        <v>5.0999999999999996</v>
      </c>
      <c r="G84" s="145">
        <v>5.0999999999999996</v>
      </c>
      <c r="H84" s="22" t="s">
        <v>495</v>
      </c>
    </row>
    <row r="85" spans="2:8" ht="15" customHeight="1" x14ac:dyDescent="0.25">
      <c r="B85" s="26" t="s">
        <v>357</v>
      </c>
      <c r="C85" s="146" t="s">
        <v>32</v>
      </c>
      <c r="D85" s="26" t="s">
        <v>555</v>
      </c>
      <c r="E85" s="147">
        <v>1</v>
      </c>
      <c r="F85" s="98">
        <v>15.33</v>
      </c>
      <c r="G85" s="148">
        <v>15.33</v>
      </c>
      <c r="H85" s="26" t="s">
        <v>495</v>
      </c>
    </row>
    <row r="86" spans="2:8" ht="15" customHeight="1" x14ac:dyDescent="0.25">
      <c r="B86" s="22" t="s">
        <v>556</v>
      </c>
      <c r="C86" s="143" t="s">
        <v>26</v>
      </c>
      <c r="D86" s="22" t="s">
        <v>557</v>
      </c>
      <c r="E86" s="154">
        <v>1</v>
      </c>
      <c r="F86" s="95">
        <v>23</v>
      </c>
      <c r="G86" s="145">
        <v>23</v>
      </c>
      <c r="H86" s="22" t="s">
        <v>518</v>
      </c>
    </row>
    <row r="87" spans="2:8" ht="15" customHeight="1" x14ac:dyDescent="0.25">
      <c r="B87" s="26" t="s">
        <v>556</v>
      </c>
      <c r="C87" s="146" t="s">
        <v>26</v>
      </c>
      <c r="D87" s="26" t="s">
        <v>558</v>
      </c>
      <c r="E87" s="155">
        <v>1</v>
      </c>
      <c r="F87" s="98">
        <v>19</v>
      </c>
      <c r="G87" s="148">
        <v>19</v>
      </c>
      <c r="H87" s="26" t="s">
        <v>518</v>
      </c>
    </row>
    <row r="88" spans="2:8" ht="15" customHeight="1" x14ac:dyDescent="0.25">
      <c r="B88" s="22" t="s">
        <v>556</v>
      </c>
      <c r="C88" s="143" t="s">
        <v>26</v>
      </c>
      <c r="D88" s="22" t="s">
        <v>559</v>
      </c>
      <c r="E88" s="154">
        <v>1</v>
      </c>
      <c r="F88" s="95">
        <v>19</v>
      </c>
      <c r="G88" s="145">
        <v>19</v>
      </c>
      <c r="H88" s="22" t="s">
        <v>518</v>
      </c>
    </row>
    <row r="89" spans="2:8" ht="15" customHeight="1" x14ac:dyDescent="0.25">
      <c r="B89" s="26" t="s">
        <v>556</v>
      </c>
      <c r="C89" s="146" t="s">
        <v>26</v>
      </c>
      <c r="D89" s="26" t="s">
        <v>560</v>
      </c>
      <c r="E89" s="155">
        <v>1</v>
      </c>
      <c r="F89" s="98">
        <v>22</v>
      </c>
      <c r="G89" s="148">
        <v>22</v>
      </c>
      <c r="H89" s="26" t="s">
        <v>495</v>
      </c>
    </row>
    <row r="90" spans="2:8" ht="15" customHeight="1" x14ac:dyDescent="0.25">
      <c r="B90" s="22" t="s">
        <v>556</v>
      </c>
      <c r="C90" s="143" t="s">
        <v>26</v>
      </c>
      <c r="D90" s="22" t="s">
        <v>561</v>
      </c>
      <c r="E90" s="154">
        <v>1</v>
      </c>
      <c r="F90" s="95">
        <v>25</v>
      </c>
      <c r="G90" s="145">
        <v>25</v>
      </c>
      <c r="H90" s="22" t="s">
        <v>495</v>
      </c>
    </row>
    <row r="91" spans="2:8" ht="15" customHeight="1" x14ac:dyDescent="0.25">
      <c r="B91" s="156" t="s">
        <v>556</v>
      </c>
      <c r="C91" s="157" t="s">
        <v>26</v>
      </c>
      <c r="D91" s="156" t="s">
        <v>562</v>
      </c>
      <c r="E91" s="158">
        <v>1</v>
      </c>
      <c r="F91" s="159">
        <v>82</v>
      </c>
      <c r="G91" s="160">
        <v>82</v>
      </c>
      <c r="H91" s="156" t="s">
        <v>563</v>
      </c>
    </row>
    <row r="92" spans="2:8" ht="15" customHeight="1" x14ac:dyDescent="0.25">
      <c r="B92" s="22" t="s">
        <v>556</v>
      </c>
      <c r="C92" s="143" t="s">
        <v>26</v>
      </c>
      <c r="D92" s="22" t="s">
        <v>564</v>
      </c>
      <c r="E92" s="154">
        <v>1</v>
      </c>
      <c r="F92" s="95">
        <v>25</v>
      </c>
      <c r="G92" s="145">
        <v>25</v>
      </c>
      <c r="H92" s="22" t="s">
        <v>499</v>
      </c>
    </row>
    <row r="93" spans="2:8" ht="15" customHeight="1" x14ac:dyDescent="0.25">
      <c r="B93" s="26" t="s">
        <v>565</v>
      </c>
      <c r="C93" s="146" t="s">
        <v>26</v>
      </c>
      <c r="D93" s="26" t="s">
        <v>566</v>
      </c>
      <c r="E93" s="155">
        <v>2</v>
      </c>
      <c r="F93" s="98">
        <v>18.5</v>
      </c>
      <c r="G93" s="148">
        <v>37</v>
      </c>
      <c r="H93" s="26" t="s">
        <v>495</v>
      </c>
    </row>
    <row r="94" spans="2:8" ht="15" customHeight="1" x14ac:dyDescent="0.25">
      <c r="B94" s="22" t="s">
        <v>567</v>
      </c>
      <c r="C94" s="143" t="s">
        <v>26</v>
      </c>
      <c r="D94" s="22" t="s">
        <v>568</v>
      </c>
      <c r="E94" s="154">
        <v>2</v>
      </c>
      <c r="F94" s="95">
        <v>44</v>
      </c>
      <c r="G94" s="145">
        <v>88</v>
      </c>
      <c r="H94" s="22" t="s">
        <v>495</v>
      </c>
    </row>
    <row r="95" spans="2:8" ht="15" customHeight="1" x14ac:dyDescent="0.25">
      <c r="B95" s="26" t="s">
        <v>567</v>
      </c>
      <c r="C95" s="146" t="s">
        <v>26</v>
      </c>
      <c r="D95" s="26" t="s">
        <v>569</v>
      </c>
      <c r="E95" s="155">
        <v>2</v>
      </c>
      <c r="F95" s="98">
        <v>15</v>
      </c>
      <c r="G95" s="148">
        <v>30</v>
      </c>
      <c r="H95" s="26" t="s">
        <v>495</v>
      </c>
    </row>
    <row r="96" spans="2:8" ht="15" customHeight="1" x14ac:dyDescent="0.25">
      <c r="B96" s="22" t="s">
        <v>567</v>
      </c>
      <c r="C96" s="143" t="s">
        <v>26</v>
      </c>
      <c r="D96" s="22" t="s">
        <v>570</v>
      </c>
      <c r="E96" s="154">
        <v>1</v>
      </c>
      <c r="F96" s="95">
        <v>36</v>
      </c>
      <c r="G96" s="145">
        <v>36</v>
      </c>
      <c r="H96" s="22" t="s">
        <v>518</v>
      </c>
    </row>
    <row r="97" spans="2:8" ht="15" customHeight="1" x14ac:dyDescent="0.25">
      <c r="B97" s="26" t="s">
        <v>567</v>
      </c>
      <c r="C97" s="146" t="s">
        <v>26</v>
      </c>
      <c r="D97" s="26" t="s">
        <v>571</v>
      </c>
      <c r="E97" s="155">
        <v>1</v>
      </c>
      <c r="F97" s="98">
        <v>36</v>
      </c>
      <c r="G97" s="148">
        <v>36</v>
      </c>
      <c r="H97" s="26" t="s">
        <v>518</v>
      </c>
    </row>
    <row r="98" spans="2:8" ht="15" customHeight="1" x14ac:dyDescent="0.25">
      <c r="B98" s="156" t="s">
        <v>567</v>
      </c>
      <c r="C98" s="157" t="s">
        <v>26</v>
      </c>
      <c r="D98" s="156" t="s">
        <v>562</v>
      </c>
      <c r="E98" s="158">
        <v>1</v>
      </c>
      <c r="F98" s="159">
        <v>84</v>
      </c>
      <c r="G98" s="160">
        <v>84</v>
      </c>
      <c r="H98" s="156" t="s">
        <v>563</v>
      </c>
    </row>
    <row r="99" spans="2:8" ht="15" customHeight="1" x14ac:dyDescent="0.25">
      <c r="B99" s="26" t="s">
        <v>572</v>
      </c>
      <c r="C99" s="146" t="s">
        <v>26</v>
      </c>
      <c r="D99" s="26" t="s">
        <v>573</v>
      </c>
      <c r="E99" s="155">
        <v>1</v>
      </c>
      <c r="F99" s="98">
        <v>16.5</v>
      </c>
      <c r="G99" s="148">
        <v>16.5</v>
      </c>
      <c r="H99" s="26" t="s">
        <v>518</v>
      </c>
    </row>
    <row r="100" spans="2:8" ht="15" customHeight="1" x14ac:dyDescent="0.25">
      <c r="B100" s="22" t="s">
        <v>572</v>
      </c>
      <c r="C100" s="143" t="s">
        <v>26</v>
      </c>
      <c r="D100" s="22" t="s">
        <v>574</v>
      </c>
      <c r="E100" s="154">
        <v>1</v>
      </c>
      <c r="F100" s="95">
        <v>39</v>
      </c>
      <c r="G100" s="145">
        <v>39</v>
      </c>
      <c r="H100" s="22" t="s">
        <v>495</v>
      </c>
    </row>
    <row r="101" spans="2:8" ht="15" customHeight="1" x14ac:dyDescent="0.25">
      <c r="B101" s="26" t="s">
        <v>575</v>
      </c>
      <c r="C101" s="146" t="s">
        <v>26</v>
      </c>
      <c r="D101" s="26" t="s">
        <v>576</v>
      </c>
      <c r="E101" s="155">
        <v>1</v>
      </c>
      <c r="F101" s="98">
        <v>18</v>
      </c>
      <c r="G101" s="148">
        <v>18</v>
      </c>
      <c r="H101" s="26" t="s">
        <v>518</v>
      </c>
    </row>
    <row r="102" spans="2:8" ht="15" customHeight="1" x14ac:dyDescent="0.25">
      <c r="B102" s="22" t="s">
        <v>575</v>
      </c>
      <c r="C102" s="143" t="s">
        <v>26</v>
      </c>
      <c r="D102" s="22" t="s">
        <v>577</v>
      </c>
      <c r="E102" s="154">
        <v>1</v>
      </c>
      <c r="F102" s="95">
        <v>18</v>
      </c>
      <c r="G102" s="145">
        <v>18</v>
      </c>
      <c r="H102" s="22" t="s">
        <v>518</v>
      </c>
    </row>
    <row r="103" spans="2:8" ht="15" customHeight="1" x14ac:dyDescent="0.25">
      <c r="B103" s="26" t="s">
        <v>575</v>
      </c>
      <c r="C103" s="146" t="s">
        <v>26</v>
      </c>
      <c r="D103" s="26" t="s">
        <v>578</v>
      </c>
      <c r="E103" s="155">
        <v>1</v>
      </c>
      <c r="F103" s="98">
        <v>55</v>
      </c>
      <c r="G103" s="148">
        <v>55</v>
      </c>
      <c r="H103" s="26" t="s">
        <v>518</v>
      </c>
    </row>
    <row r="104" spans="2:8" ht="15" customHeight="1" x14ac:dyDescent="0.25">
      <c r="B104" s="22" t="s">
        <v>575</v>
      </c>
      <c r="C104" s="143" t="s">
        <v>26</v>
      </c>
      <c r="D104" s="22" t="s">
        <v>579</v>
      </c>
      <c r="E104" s="154">
        <v>1</v>
      </c>
      <c r="F104" s="95">
        <v>55</v>
      </c>
      <c r="G104" s="145">
        <v>55</v>
      </c>
      <c r="H104" s="22" t="s">
        <v>518</v>
      </c>
    </row>
    <row r="105" spans="2:8" ht="15" customHeight="1" x14ac:dyDescent="0.25">
      <c r="B105" s="156" t="s">
        <v>575</v>
      </c>
      <c r="C105" s="157" t="s">
        <v>26</v>
      </c>
      <c r="D105" s="156" t="s">
        <v>562</v>
      </c>
      <c r="E105" s="158">
        <v>1</v>
      </c>
      <c r="F105" s="159">
        <v>82</v>
      </c>
      <c r="G105" s="160">
        <v>82</v>
      </c>
      <c r="H105" s="156" t="s">
        <v>563</v>
      </c>
    </row>
    <row r="106" spans="2:8" ht="15" customHeight="1" x14ac:dyDescent="0.25">
      <c r="B106" s="22" t="s">
        <v>580</v>
      </c>
      <c r="C106" s="143" t="s">
        <v>26</v>
      </c>
      <c r="D106" s="22" t="s">
        <v>581</v>
      </c>
      <c r="E106" s="154">
        <v>1</v>
      </c>
      <c r="F106" s="95">
        <v>38</v>
      </c>
      <c r="G106" s="145">
        <v>38</v>
      </c>
      <c r="H106" s="22" t="s">
        <v>495</v>
      </c>
    </row>
    <row r="107" spans="2:8" ht="15" customHeight="1" x14ac:dyDescent="0.25">
      <c r="B107" s="26" t="s">
        <v>580</v>
      </c>
      <c r="C107" s="146" t="s">
        <v>26</v>
      </c>
      <c r="D107" s="26" t="s">
        <v>582</v>
      </c>
      <c r="E107" s="155">
        <v>3</v>
      </c>
      <c r="F107" s="98">
        <v>42.67</v>
      </c>
      <c r="G107" s="148">
        <v>128</v>
      </c>
      <c r="H107" s="26" t="s">
        <v>495</v>
      </c>
    </row>
    <row r="108" spans="2:8" ht="15" customHeight="1" x14ac:dyDescent="0.25">
      <c r="B108" s="156" t="s">
        <v>580</v>
      </c>
      <c r="C108" s="157" t="s">
        <v>26</v>
      </c>
      <c r="D108" s="156" t="s">
        <v>562</v>
      </c>
      <c r="E108" s="158">
        <v>1</v>
      </c>
      <c r="F108" s="159">
        <v>84</v>
      </c>
      <c r="G108" s="160">
        <v>84</v>
      </c>
      <c r="H108" s="156" t="s">
        <v>563</v>
      </c>
    </row>
    <row r="109" spans="2:8" ht="15" customHeight="1" x14ac:dyDescent="0.25">
      <c r="B109" s="26" t="s">
        <v>583</v>
      </c>
      <c r="C109" s="146" t="s">
        <v>26</v>
      </c>
      <c r="D109" s="26" t="s">
        <v>584</v>
      </c>
      <c r="E109" s="155">
        <v>1</v>
      </c>
      <c r="F109" s="98">
        <v>40</v>
      </c>
      <c r="G109" s="148">
        <v>40</v>
      </c>
      <c r="H109" s="26" t="s">
        <v>518</v>
      </c>
    </row>
    <row r="110" spans="2:8" ht="15" customHeight="1" x14ac:dyDescent="0.25">
      <c r="B110" s="22" t="s">
        <v>583</v>
      </c>
      <c r="C110" s="143" t="s">
        <v>26</v>
      </c>
      <c r="D110" s="22" t="s">
        <v>585</v>
      </c>
      <c r="E110" s="154">
        <v>1</v>
      </c>
      <c r="F110" s="95">
        <v>44</v>
      </c>
      <c r="G110" s="145">
        <v>44</v>
      </c>
      <c r="H110" s="22" t="s">
        <v>518</v>
      </c>
    </row>
    <row r="111" spans="2:8" ht="15" customHeight="1" x14ac:dyDescent="0.25">
      <c r="B111" s="26" t="s">
        <v>583</v>
      </c>
      <c r="C111" s="146" t="s">
        <v>26</v>
      </c>
      <c r="D111" s="26" t="s">
        <v>586</v>
      </c>
      <c r="E111" s="155">
        <v>1</v>
      </c>
      <c r="F111" s="98">
        <v>44</v>
      </c>
      <c r="G111" s="148">
        <v>44</v>
      </c>
      <c r="H111" s="26" t="s">
        <v>518</v>
      </c>
    </row>
    <row r="112" spans="2:8" ht="15" customHeight="1" x14ac:dyDescent="0.25">
      <c r="B112" s="22" t="s">
        <v>583</v>
      </c>
      <c r="C112" s="143" t="s">
        <v>26</v>
      </c>
      <c r="D112" s="22" t="s">
        <v>587</v>
      </c>
      <c r="E112" s="154">
        <v>1</v>
      </c>
      <c r="F112" s="95">
        <v>16.899999999999999</v>
      </c>
      <c r="G112" s="145">
        <v>16.899999999999999</v>
      </c>
      <c r="H112" s="22" t="s">
        <v>518</v>
      </c>
    </row>
    <row r="113" spans="2:8" ht="15" customHeight="1" x14ac:dyDescent="0.25">
      <c r="B113" s="26" t="s">
        <v>583</v>
      </c>
      <c r="C113" s="146" t="s">
        <v>26</v>
      </c>
      <c r="D113" s="26" t="s">
        <v>588</v>
      </c>
      <c r="E113" s="155">
        <v>1</v>
      </c>
      <c r="F113" s="98">
        <v>38</v>
      </c>
      <c r="G113" s="148">
        <v>38</v>
      </c>
      <c r="H113" s="26" t="s">
        <v>485</v>
      </c>
    </row>
    <row r="114" spans="2:8" ht="15" customHeight="1" x14ac:dyDescent="0.25">
      <c r="B114" s="22" t="s">
        <v>583</v>
      </c>
      <c r="C114" s="143" t="s">
        <v>26</v>
      </c>
      <c r="D114" s="22" t="s">
        <v>589</v>
      </c>
      <c r="E114" s="154">
        <v>1</v>
      </c>
      <c r="F114" s="95">
        <v>56.9</v>
      </c>
      <c r="G114" s="145">
        <v>56.9</v>
      </c>
      <c r="H114" s="22" t="s">
        <v>485</v>
      </c>
    </row>
    <row r="115" spans="2:8" ht="15" customHeight="1" x14ac:dyDescent="0.25">
      <c r="B115" s="26" t="s">
        <v>590</v>
      </c>
      <c r="C115" s="146" t="s">
        <v>26</v>
      </c>
      <c r="D115" s="26" t="s">
        <v>591</v>
      </c>
      <c r="E115" s="155">
        <v>1</v>
      </c>
      <c r="F115" s="98">
        <v>42</v>
      </c>
      <c r="G115" s="148">
        <v>42</v>
      </c>
      <c r="H115" s="26" t="s">
        <v>495</v>
      </c>
    </row>
    <row r="116" spans="2:8" ht="15" customHeight="1" x14ac:dyDescent="0.25">
      <c r="B116" s="22" t="s">
        <v>592</v>
      </c>
      <c r="C116" s="143" t="s">
        <v>26</v>
      </c>
      <c r="D116" s="22" t="s">
        <v>593</v>
      </c>
      <c r="E116" s="154">
        <v>1</v>
      </c>
      <c r="F116" s="95">
        <v>28</v>
      </c>
      <c r="G116" s="145">
        <v>28</v>
      </c>
      <c r="H116" s="22" t="s">
        <v>495</v>
      </c>
    </row>
    <row r="117" spans="2:8" ht="15" customHeight="1" x14ac:dyDescent="0.25">
      <c r="B117" s="26" t="s">
        <v>592</v>
      </c>
      <c r="C117" s="146" t="s">
        <v>26</v>
      </c>
      <c r="D117" s="26" t="s">
        <v>594</v>
      </c>
      <c r="E117" s="155">
        <v>1</v>
      </c>
      <c r="F117" s="98">
        <v>15</v>
      </c>
      <c r="G117" s="148">
        <v>15</v>
      </c>
      <c r="H117" s="26" t="s">
        <v>518</v>
      </c>
    </row>
    <row r="118" spans="2:8" ht="15" customHeight="1" x14ac:dyDescent="0.25">
      <c r="B118" s="22" t="s">
        <v>592</v>
      </c>
      <c r="C118" s="143" t="s">
        <v>26</v>
      </c>
      <c r="D118" s="22" t="s">
        <v>595</v>
      </c>
      <c r="E118" s="154">
        <v>1</v>
      </c>
      <c r="F118" s="95">
        <v>16</v>
      </c>
      <c r="G118" s="145">
        <v>16</v>
      </c>
      <c r="H118" s="22" t="s">
        <v>518</v>
      </c>
    </row>
    <row r="119" spans="2:8" ht="15" customHeight="1" x14ac:dyDescent="0.25">
      <c r="B119" s="26" t="s">
        <v>596</v>
      </c>
      <c r="C119" s="146" t="s">
        <v>26</v>
      </c>
      <c r="D119" s="26" t="s">
        <v>561</v>
      </c>
      <c r="E119" s="155">
        <v>1</v>
      </c>
      <c r="F119" s="98">
        <v>27</v>
      </c>
      <c r="G119" s="148">
        <v>27</v>
      </c>
      <c r="H119" s="26" t="s">
        <v>495</v>
      </c>
    </row>
    <row r="120" spans="2:8" ht="15" customHeight="1" x14ac:dyDescent="0.25">
      <c r="B120" s="22" t="s">
        <v>596</v>
      </c>
      <c r="C120" s="143" t="s">
        <v>26</v>
      </c>
      <c r="D120" s="22" t="s">
        <v>597</v>
      </c>
      <c r="E120" s="154">
        <v>1</v>
      </c>
      <c r="F120" s="95">
        <v>27.5</v>
      </c>
      <c r="G120" s="145">
        <v>27.5</v>
      </c>
      <c r="H120" s="22" t="s">
        <v>495</v>
      </c>
    </row>
    <row r="121" spans="2:8" ht="15" customHeight="1" x14ac:dyDescent="0.25">
      <c r="B121" s="156" t="s">
        <v>596</v>
      </c>
      <c r="C121" s="157" t="s">
        <v>26</v>
      </c>
      <c r="D121" s="156" t="s">
        <v>562</v>
      </c>
      <c r="E121" s="158">
        <v>1</v>
      </c>
      <c r="F121" s="159">
        <v>99</v>
      </c>
      <c r="G121" s="160">
        <v>99</v>
      </c>
      <c r="H121" s="156" t="s">
        <v>563</v>
      </c>
    </row>
    <row r="122" spans="2:8" ht="15" customHeight="1" x14ac:dyDescent="0.25">
      <c r="B122" s="22" t="s">
        <v>598</v>
      </c>
      <c r="C122" s="143" t="s">
        <v>26</v>
      </c>
      <c r="D122" s="22" t="s">
        <v>582</v>
      </c>
      <c r="E122" s="154">
        <v>2</v>
      </c>
      <c r="F122" s="95">
        <v>42.5</v>
      </c>
      <c r="G122" s="145">
        <v>85</v>
      </c>
      <c r="H122" s="22" t="s">
        <v>495</v>
      </c>
    </row>
    <row r="123" spans="2:8" ht="15" customHeight="1" x14ac:dyDescent="0.25">
      <c r="B123" s="26" t="s">
        <v>599</v>
      </c>
      <c r="C123" s="146" t="s">
        <v>26</v>
      </c>
      <c r="D123" s="26" t="s">
        <v>600</v>
      </c>
      <c r="E123" s="155">
        <v>1</v>
      </c>
      <c r="F123" s="98">
        <v>15</v>
      </c>
      <c r="G123" s="148">
        <v>15</v>
      </c>
      <c r="H123" s="26" t="s">
        <v>518</v>
      </c>
    </row>
    <row r="124" spans="2:8" ht="15" customHeight="1" x14ac:dyDescent="0.25">
      <c r="B124" s="22" t="s">
        <v>599</v>
      </c>
      <c r="C124" s="143" t="s">
        <v>26</v>
      </c>
      <c r="D124" s="22" t="s">
        <v>595</v>
      </c>
      <c r="E124" s="154">
        <v>1</v>
      </c>
      <c r="F124" s="95">
        <v>15</v>
      </c>
      <c r="G124" s="145">
        <v>15</v>
      </c>
      <c r="H124" s="22" t="s">
        <v>518</v>
      </c>
    </row>
    <row r="125" spans="2:8" ht="15" customHeight="1" x14ac:dyDescent="0.25">
      <c r="B125" s="156" t="s">
        <v>599</v>
      </c>
      <c r="C125" s="157" t="s">
        <v>26</v>
      </c>
      <c r="D125" s="156" t="s">
        <v>562</v>
      </c>
      <c r="E125" s="158">
        <v>1</v>
      </c>
      <c r="F125" s="159">
        <v>98</v>
      </c>
      <c r="G125" s="160">
        <v>98</v>
      </c>
      <c r="H125" s="156" t="s">
        <v>563</v>
      </c>
    </row>
    <row r="126" spans="2:8" ht="15" customHeight="1" x14ac:dyDescent="0.25">
      <c r="B126" s="22" t="s">
        <v>601</v>
      </c>
      <c r="C126" s="143" t="s">
        <v>26</v>
      </c>
      <c r="D126" s="22" t="s">
        <v>568</v>
      </c>
      <c r="E126" s="154">
        <v>2</v>
      </c>
      <c r="F126" s="95">
        <v>43.5</v>
      </c>
      <c r="G126" s="145">
        <v>87</v>
      </c>
      <c r="H126" s="22" t="s">
        <v>495</v>
      </c>
    </row>
    <row r="127" spans="2:8" ht="15" customHeight="1" x14ac:dyDescent="0.25">
      <c r="B127" s="156" t="s">
        <v>601</v>
      </c>
      <c r="C127" s="157" t="s">
        <v>26</v>
      </c>
      <c r="D127" s="156" t="s">
        <v>562</v>
      </c>
      <c r="E127" s="158">
        <v>1</v>
      </c>
      <c r="F127" s="159">
        <v>99</v>
      </c>
      <c r="G127" s="160">
        <v>99</v>
      </c>
      <c r="H127" s="156" t="s">
        <v>563</v>
      </c>
    </row>
    <row r="128" spans="2:8" ht="15" customHeight="1" x14ac:dyDescent="0.25">
      <c r="B128" s="22" t="s">
        <v>601</v>
      </c>
      <c r="C128" s="143" t="s">
        <v>26</v>
      </c>
      <c r="D128" s="22" t="s">
        <v>602</v>
      </c>
      <c r="E128" s="154">
        <v>1</v>
      </c>
      <c r="F128" s="95">
        <v>3</v>
      </c>
      <c r="G128" s="145">
        <v>3</v>
      </c>
      <c r="H128" s="22" t="s">
        <v>495</v>
      </c>
    </row>
    <row r="129" spans="2:8" ht="15" customHeight="1" x14ac:dyDescent="0.25">
      <c r="B129" s="26" t="s">
        <v>603</v>
      </c>
      <c r="C129" s="146" t="s">
        <v>26</v>
      </c>
      <c r="D129" s="26" t="s">
        <v>604</v>
      </c>
      <c r="E129" s="155">
        <v>1</v>
      </c>
      <c r="F129" s="98">
        <v>10.5</v>
      </c>
      <c r="G129" s="148">
        <v>10.5</v>
      </c>
      <c r="H129" s="26" t="s">
        <v>495</v>
      </c>
    </row>
    <row r="130" spans="2:8" ht="15" customHeight="1" x14ac:dyDescent="0.25">
      <c r="B130" s="22" t="s">
        <v>603</v>
      </c>
      <c r="C130" s="143" t="s">
        <v>26</v>
      </c>
      <c r="D130" s="22" t="s">
        <v>605</v>
      </c>
      <c r="E130" s="154">
        <v>1</v>
      </c>
      <c r="F130" s="95">
        <v>30.5</v>
      </c>
      <c r="G130" s="145">
        <v>30.5</v>
      </c>
      <c r="H130" s="22" t="s">
        <v>495</v>
      </c>
    </row>
    <row r="131" spans="2:8" ht="15" customHeight="1" x14ac:dyDescent="0.25">
      <c r="B131" s="26" t="s">
        <v>603</v>
      </c>
      <c r="C131" s="146" t="s">
        <v>26</v>
      </c>
      <c r="D131" s="26" t="s">
        <v>606</v>
      </c>
      <c r="E131" s="155">
        <v>2</v>
      </c>
      <c r="F131" s="98">
        <v>55</v>
      </c>
      <c r="G131" s="148">
        <v>110</v>
      </c>
      <c r="H131" s="26" t="s">
        <v>518</v>
      </c>
    </row>
    <row r="132" spans="2:8" ht="15" customHeight="1" x14ac:dyDescent="0.25">
      <c r="B132" s="22" t="s">
        <v>607</v>
      </c>
      <c r="C132" s="143" t="s">
        <v>26</v>
      </c>
      <c r="D132" s="22" t="s">
        <v>608</v>
      </c>
      <c r="E132" s="154">
        <v>1</v>
      </c>
      <c r="F132" s="95">
        <v>35</v>
      </c>
      <c r="G132" s="145">
        <v>35</v>
      </c>
      <c r="H132" s="22" t="s">
        <v>495</v>
      </c>
    </row>
    <row r="133" spans="2:8" ht="15" customHeight="1" x14ac:dyDescent="0.25">
      <c r="B133" s="26" t="s">
        <v>607</v>
      </c>
      <c r="C133" s="146" t="s">
        <v>26</v>
      </c>
      <c r="D133" s="26" t="s">
        <v>609</v>
      </c>
      <c r="E133" s="155">
        <v>1</v>
      </c>
      <c r="F133" s="98">
        <v>70</v>
      </c>
      <c r="G133" s="148">
        <v>70</v>
      </c>
      <c r="H133" s="26" t="s">
        <v>610</v>
      </c>
    </row>
    <row r="134" spans="2:8" ht="15" customHeight="1" x14ac:dyDescent="0.25">
      <c r="B134" s="22" t="s">
        <v>611</v>
      </c>
      <c r="C134" s="143" t="s">
        <v>26</v>
      </c>
      <c r="D134" s="22" t="s">
        <v>612</v>
      </c>
      <c r="E134" s="154">
        <v>1</v>
      </c>
      <c r="F134" s="95">
        <v>44.5</v>
      </c>
      <c r="G134" s="145">
        <v>44.5</v>
      </c>
      <c r="H134" s="22" t="s">
        <v>483</v>
      </c>
    </row>
    <row r="135" spans="2:8" ht="15" customHeight="1" x14ac:dyDescent="0.25">
      <c r="B135" s="26" t="s">
        <v>611</v>
      </c>
      <c r="C135" s="146" t="s">
        <v>26</v>
      </c>
      <c r="D135" s="26" t="s">
        <v>613</v>
      </c>
      <c r="E135" s="155">
        <v>1</v>
      </c>
      <c r="F135" s="98">
        <v>108.5</v>
      </c>
      <c r="G135" s="148">
        <v>108.5</v>
      </c>
      <c r="H135" s="26" t="s">
        <v>610</v>
      </c>
    </row>
    <row r="136" spans="2:8" ht="15" customHeight="1" x14ac:dyDescent="0.25">
      <c r="B136" s="22" t="s">
        <v>614</v>
      </c>
      <c r="C136" s="143" t="s">
        <v>26</v>
      </c>
      <c r="D136" s="22" t="s">
        <v>615</v>
      </c>
      <c r="E136" s="154">
        <v>1</v>
      </c>
      <c r="F136" s="95">
        <v>26</v>
      </c>
      <c r="G136" s="145">
        <v>26</v>
      </c>
      <c r="H136" s="22" t="s">
        <v>610</v>
      </c>
    </row>
    <row r="137" spans="2:8" ht="15" customHeight="1" x14ac:dyDescent="0.25">
      <c r="B137" s="26" t="s">
        <v>616</v>
      </c>
      <c r="C137" s="146" t="s">
        <v>26</v>
      </c>
      <c r="D137" s="26" t="s">
        <v>582</v>
      </c>
      <c r="E137" s="155">
        <v>2</v>
      </c>
      <c r="F137" s="98">
        <v>43.5</v>
      </c>
      <c r="G137" s="148">
        <v>87</v>
      </c>
      <c r="H137" s="26" t="s">
        <v>495</v>
      </c>
    </row>
    <row r="138" spans="2:8" ht="15" customHeight="1" x14ac:dyDescent="0.25">
      <c r="B138" s="22" t="s">
        <v>617</v>
      </c>
      <c r="C138" s="143" t="s">
        <v>26</v>
      </c>
      <c r="D138" s="22" t="s">
        <v>618</v>
      </c>
      <c r="E138" s="154">
        <v>1</v>
      </c>
      <c r="F138" s="95">
        <v>29</v>
      </c>
      <c r="G138" s="145">
        <v>29</v>
      </c>
      <c r="H138" s="22" t="s">
        <v>518</v>
      </c>
    </row>
    <row r="139" spans="2:8" ht="15" customHeight="1" x14ac:dyDescent="0.25">
      <c r="B139" s="26" t="s">
        <v>617</v>
      </c>
      <c r="C139" s="146" t="s">
        <v>26</v>
      </c>
      <c r="D139" s="26" t="s">
        <v>619</v>
      </c>
      <c r="E139" s="155">
        <v>1</v>
      </c>
      <c r="F139" s="98">
        <v>55</v>
      </c>
      <c r="G139" s="148">
        <v>55</v>
      </c>
      <c r="H139" s="26" t="s">
        <v>518</v>
      </c>
    </row>
    <row r="140" spans="2:8" ht="15" customHeight="1" x14ac:dyDescent="0.25">
      <c r="B140" s="22" t="s">
        <v>617</v>
      </c>
      <c r="C140" s="143" t="s">
        <v>26</v>
      </c>
      <c r="D140" s="22" t="s">
        <v>620</v>
      </c>
      <c r="E140" s="154">
        <v>1</v>
      </c>
      <c r="F140" s="95">
        <v>73</v>
      </c>
      <c r="G140" s="145">
        <v>73</v>
      </c>
      <c r="H140" s="22" t="s">
        <v>518</v>
      </c>
    </row>
    <row r="141" spans="2:8" ht="15" customHeight="1" x14ac:dyDescent="0.25">
      <c r="B141" s="26" t="s">
        <v>222</v>
      </c>
      <c r="C141" s="146" t="s">
        <v>26</v>
      </c>
      <c r="D141" s="26" t="s">
        <v>557</v>
      </c>
      <c r="E141" s="155">
        <v>1</v>
      </c>
      <c r="F141" s="98">
        <v>23</v>
      </c>
      <c r="G141" s="148">
        <v>23</v>
      </c>
      <c r="H141" s="26" t="s">
        <v>518</v>
      </c>
    </row>
    <row r="142" spans="2:8" ht="15" customHeight="1" x14ac:dyDescent="0.25">
      <c r="B142" s="22" t="s">
        <v>222</v>
      </c>
      <c r="C142" s="143" t="s">
        <v>26</v>
      </c>
      <c r="D142" s="22" t="s">
        <v>558</v>
      </c>
      <c r="E142" s="154">
        <v>3</v>
      </c>
      <c r="F142" s="95">
        <v>19</v>
      </c>
      <c r="G142" s="145">
        <v>57</v>
      </c>
      <c r="H142" s="22" t="s">
        <v>518</v>
      </c>
    </row>
    <row r="143" spans="2:8" ht="15" customHeight="1" x14ac:dyDescent="0.25">
      <c r="B143" s="26" t="s">
        <v>222</v>
      </c>
      <c r="C143" s="146" t="s">
        <v>26</v>
      </c>
      <c r="D143" s="26" t="s">
        <v>559</v>
      </c>
      <c r="E143" s="155">
        <v>3</v>
      </c>
      <c r="F143" s="98">
        <v>19</v>
      </c>
      <c r="G143" s="148">
        <v>57</v>
      </c>
      <c r="H143" s="26" t="s">
        <v>518</v>
      </c>
    </row>
    <row r="144" spans="2:8" ht="15" customHeight="1" x14ac:dyDescent="0.25">
      <c r="B144" s="22" t="s">
        <v>222</v>
      </c>
      <c r="C144" s="143" t="s">
        <v>26</v>
      </c>
      <c r="D144" s="22" t="s">
        <v>520</v>
      </c>
      <c r="E144" s="154">
        <v>1</v>
      </c>
      <c r="F144" s="95">
        <v>42</v>
      </c>
      <c r="G144" s="145">
        <v>42</v>
      </c>
      <c r="H144" s="22" t="s">
        <v>495</v>
      </c>
    </row>
    <row r="145" spans="2:8" ht="15" customHeight="1" x14ac:dyDescent="0.25">
      <c r="B145" s="26" t="s">
        <v>229</v>
      </c>
      <c r="C145" s="146" t="s">
        <v>26</v>
      </c>
      <c r="D145" s="26" t="s">
        <v>566</v>
      </c>
      <c r="E145" s="155">
        <v>2</v>
      </c>
      <c r="F145" s="98">
        <v>22</v>
      </c>
      <c r="G145" s="148">
        <v>44</v>
      </c>
      <c r="H145" s="26" t="s">
        <v>495</v>
      </c>
    </row>
    <row r="146" spans="2:8" ht="15" customHeight="1" x14ac:dyDescent="0.25">
      <c r="B146" s="22" t="s">
        <v>229</v>
      </c>
      <c r="C146" s="143" t="s">
        <v>26</v>
      </c>
      <c r="D146" s="22" t="s">
        <v>524</v>
      </c>
      <c r="E146" s="154">
        <v>2</v>
      </c>
      <c r="F146" s="95">
        <v>19</v>
      </c>
      <c r="G146" s="145">
        <v>38</v>
      </c>
      <c r="H146" s="22" t="s">
        <v>518</v>
      </c>
    </row>
    <row r="147" spans="2:8" ht="15" customHeight="1" x14ac:dyDescent="0.25">
      <c r="B147" s="26" t="s">
        <v>229</v>
      </c>
      <c r="C147" s="146" t="s">
        <v>26</v>
      </c>
      <c r="D147" s="26" t="s">
        <v>525</v>
      </c>
      <c r="E147" s="155">
        <v>1</v>
      </c>
      <c r="F147" s="98">
        <v>18</v>
      </c>
      <c r="G147" s="148">
        <v>18</v>
      </c>
      <c r="H147" s="26" t="s">
        <v>518</v>
      </c>
    </row>
    <row r="148" spans="2:8" ht="15" customHeight="1" x14ac:dyDescent="0.25">
      <c r="B148" s="22" t="s">
        <v>236</v>
      </c>
      <c r="C148" s="143" t="s">
        <v>26</v>
      </c>
      <c r="D148" s="22" t="s">
        <v>576</v>
      </c>
      <c r="E148" s="154">
        <v>2</v>
      </c>
      <c r="F148" s="95">
        <v>18</v>
      </c>
      <c r="G148" s="145">
        <v>36</v>
      </c>
      <c r="H148" s="22" t="s">
        <v>518</v>
      </c>
    </row>
    <row r="149" spans="2:8" ht="15" customHeight="1" x14ac:dyDescent="0.25">
      <c r="B149" s="26" t="s">
        <v>236</v>
      </c>
      <c r="C149" s="146" t="s">
        <v>26</v>
      </c>
      <c r="D149" s="26" t="s">
        <v>566</v>
      </c>
      <c r="E149" s="155">
        <v>2</v>
      </c>
      <c r="F149" s="98">
        <v>22</v>
      </c>
      <c r="G149" s="148">
        <v>44</v>
      </c>
      <c r="H149" s="26" t="s">
        <v>495</v>
      </c>
    </row>
    <row r="150" spans="2:8" ht="15" customHeight="1" x14ac:dyDescent="0.25">
      <c r="B150" s="156" t="s">
        <v>236</v>
      </c>
      <c r="C150" s="157" t="s">
        <v>26</v>
      </c>
      <c r="D150" s="156" t="s">
        <v>562</v>
      </c>
      <c r="E150" s="158">
        <v>1</v>
      </c>
      <c r="F150" s="159">
        <v>98</v>
      </c>
      <c r="G150" s="160">
        <v>98</v>
      </c>
      <c r="H150" s="156" t="s">
        <v>563</v>
      </c>
    </row>
    <row r="151" spans="2:8" ht="15" customHeight="1" x14ac:dyDescent="0.25">
      <c r="B151" s="26" t="s">
        <v>256</v>
      </c>
      <c r="C151" s="146" t="s">
        <v>26</v>
      </c>
      <c r="D151" s="26" t="s">
        <v>621</v>
      </c>
      <c r="E151" s="155">
        <v>2</v>
      </c>
      <c r="F151" s="98">
        <v>20</v>
      </c>
      <c r="G151" s="148">
        <v>40</v>
      </c>
      <c r="H151" s="26" t="s">
        <v>495</v>
      </c>
    </row>
    <row r="152" spans="2:8" ht="15" customHeight="1" x14ac:dyDescent="0.25">
      <c r="B152" s="22" t="s">
        <v>256</v>
      </c>
      <c r="C152" s="143" t="s">
        <v>26</v>
      </c>
      <c r="D152" s="22" t="s">
        <v>527</v>
      </c>
      <c r="E152" s="154">
        <v>2</v>
      </c>
      <c r="F152" s="95">
        <v>19</v>
      </c>
      <c r="G152" s="145">
        <v>38</v>
      </c>
      <c r="H152" s="22" t="s">
        <v>518</v>
      </c>
    </row>
    <row r="153" spans="2:8" ht="15" customHeight="1" x14ac:dyDescent="0.25">
      <c r="B153" s="26" t="s">
        <v>256</v>
      </c>
      <c r="C153" s="146" t="s">
        <v>26</v>
      </c>
      <c r="D153" s="26" t="s">
        <v>528</v>
      </c>
      <c r="E153" s="155">
        <v>2</v>
      </c>
      <c r="F153" s="98">
        <v>11</v>
      </c>
      <c r="G153" s="148">
        <v>22</v>
      </c>
      <c r="H153" s="26" t="s">
        <v>518</v>
      </c>
    </row>
    <row r="154" spans="2:8" ht="15" customHeight="1" x14ac:dyDescent="0.25">
      <c r="B154" s="156" t="s">
        <v>259</v>
      </c>
      <c r="C154" s="157" t="s">
        <v>26</v>
      </c>
      <c r="D154" s="156" t="s">
        <v>562</v>
      </c>
      <c r="E154" s="158">
        <v>1</v>
      </c>
      <c r="F154" s="159">
        <v>98</v>
      </c>
      <c r="G154" s="160">
        <v>98</v>
      </c>
      <c r="H154" s="156" t="s">
        <v>563</v>
      </c>
    </row>
    <row r="155" spans="2:8" ht="15" customHeight="1" x14ac:dyDescent="0.25">
      <c r="B155" s="26" t="s">
        <v>259</v>
      </c>
      <c r="C155" s="146" t="s">
        <v>26</v>
      </c>
      <c r="D155" s="26" t="s">
        <v>561</v>
      </c>
      <c r="E155" s="155">
        <v>1</v>
      </c>
      <c r="F155" s="98">
        <v>27</v>
      </c>
      <c r="G155" s="148">
        <v>27</v>
      </c>
      <c r="H155" s="26" t="s">
        <v>495</v>
      </c>
    </row>
    <row r="156" spans="2:8" ht="15" customHeight="1" x14ac:dyDescent="0.25">
      <c r="B156" s="22" t="s">
        <v>282</v>
      </c>
      <c r="C156" s="143" t="s">
        <v>26</v>
      </c>
      <c r="D156" s="22" t="s">
        <v>566</v>
      </c>
      <c r="E156" s="154">
        <v>1</v>
      </c>
      <c r="F156" s="95">
        <v>22</v>
      </c>
      <c r="G156" s="145">
        <v>22</v>
      </c>
      <c r="H156" s="22" t="s">
        <v>495</v>
      </c>
    </row>
    <row r="157" spans="2:8" ht="15" customHeight="1" x14ac:dyDescent="0.25">
      <c r="B157" s="156" t="s">
        <v>282</v>
      </c>
      <c r="C157" s="157" t="s">
        <v>26</v>
      </c>
      <c r="D157" s="156" t="s">
        <v>562</v>
      </c>
      <c r="E157" s="158">
        <v>1</v>
      </c>
      <c r="F157" s="159">
        <v>98</v>
      </c>
      <c r="G157" s="160">
        <v>98</v>
      </c>
      <c r="H157" s="156" t="s">
        <v>563</v>
      </c>
    </row>
    <row r="158" spans="2:8" ht="15" customHeight="1" x14ac:dyDescent="0.25">
      <c r="B158" s="22" t="s">
        <v>290</v>
      </c>
      <c r="C158" s="143" t="s">
        <v>26</v>
      </c>
      <c r="D158" s="22" t="s">
        <v>568</v>
      </c>
      <c r="E158" s="154">
        <v>2</v>
      </c>
      <c r="F158" s="95">
        <v>44</v>
      </c>
      <c r="G158" s="145">
        <v>88</v>
      </c>
      <c r="H158" s="22" t="s">
        <v>495</v>
      </c>
    </row>
    <row r="159" spans="2:8" ht="15" customHeight="1" x14ac:dyDescent="0.25">
      <c r="B159" s="156" t="s">
        <v>290</v>
      </c>
      <c r="C159" s="157" t="s">
        <v>26</v>
      </c>
      <c r="D159" s="156" t="s">
        <v>562</v>
      </c>
      <c r="E159" s="158">
        <v>1</v>
      </c>
      <c r="F159" s="159">
        <v>98</v>
      </c>
      <c r="G159" s="160">
        <v>98</v>
      </c>
      <c r="H159" s="156" t="s">
        <v>563</v>
      </c>
    </row>
    <row r="160" spans="2:8" ht="15" customHeight="1" x14ac:dyDescent="0.25">
      <c r="B160" s="161" t="s">
        <v>622</v>
      </c>
      <c r="C160" s="162" t="s">
        <v>623</v>
      </c>
      <c r="D160" s="161" t="s">
        <v>624</v>
      </c>
      <c r="E160" s="163">
        <v>1</v>
      </c>
      <c r="F160" s="164">
        <v>970.02</v>
      </c>
      <c r="G160" s="165">
        <v>970.02</v>
      </c>
      <c r="H160" s="161" t="s">
        <v>625</v>
      </c>
    </row>
    <row r="161" spans="2:8" x14ac:dyDescent="0.25">
      <c r="B161" s="26" t="s">
        <v>622</v>
      </c>
      <c r="C161" s="146" t="s">
        <v>26</v>
      </c>
      <c r="D161" s="26" t="s">
        <v>626</v>
      </c>
      <c r="E161" s="155">
        <v>1</v>
      </c>
      <c r="F161" s="98">
        <v>28</v>
      </c>
      <c r="G161" s="148">
        <v>28</v>
      </c>
      <c r="H161" s="26" t="s">
        <v>518</v>
      </c>
    </row>
    <row r="162" spans="2:8" x14ac:dyDescent="0.25">
      <c r="B162" s="22" t="s">
        <v>622</v>
      </c>
      <c r="C162" s="143" t="s">
        <v>26</v>
      </c>
      <c r="D162" s="22" t="s">
        <v>627</v>
      </c>
      <c r="E162" s="154">
        <v>1</v>
      </c>
      <c r="F162" s="95">
        <v>42</v>
      </c>
      <c r="G162" s="145">
        <v>42</v>
      </c>
      <c r="H162" s="22" t="s">
        <v>485</v>
      </c>
    </row>
    <row r="163" spans="2:8" x14ac:dyDescent="0.25">
      <c r="B163" s="26" t="s">
        <v>622</v>
      </c>
      <c r="C163" s="146" t="s">
        <v>26</v>
      </c>
      <c r="D163" s="26" t="s">
        <v>628</v>
      </c>
      <c r="E163" s="155">
        <v>1</v>
      </c>
      <c r="F163" s="98">
        <v>15</v>
      </c>
      <c r="G163" s="148">
        <v>15</v>
      </c>
      <c r="H163" s="26" t="s">
        <v>518</v>
      </c>
    </row>
    <row r="164" spans="2:8" x14ac:dyDescent="0.25">
      <c r="B164" s="66" t="s">
        <v>629</v>
      </c>
      <c r="C164" s="166"/>
      <c r="D164" s="166"/>
      <c r="E164" s="166"/>
      <c r="G164" s="37">
        <f>SUM(G8:G163)</f>
        <v>14998.999999999995</v>
      </c>
    </row>
  </sheetData>
  <mergeCells count="3">
    <mergeCell ref="B2:H2"/>
    <mergeCell ref="B3:H3"/>
    <mergeCell ref="B59:E59"/>
  </mergeCells>
  <dataValidations count="2">
    <dataValidation type="list" allowBlank="1" sqref="C8:C1059" xr:uid="{00000000-0002-0000-0900-000000000000}">
      <formula1>"Costco,Soriana,Super Ley,OXXO,Walmart,Chedraui,Otro"</formula1>
      <formula2>0</formula2>
    </dataValidation>
    <dataValidation type="list" allowBlank="1" sqref="H8:H1059" xr:uid="{00000000-0002-0000-0900-000001000000}">
      <formula1>"🥩 Carnes y Proteínas,🥛 Lácteos y Huevo,🥦 Frutas y Verduras,🍞 Pan y Cereales,🥫 Abarrotes/Despensa,🧴 Limpieza Hogar,🧼 Higiene Personal,🥤 Bebidas,🍿 Botanas y Dulces,🧊 Congelados,🐾 Mascotas,💊 Salud/Farmacia,🏠 Hogar/Varios,📦 Otros"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6A817"/>
  </sheetPr>
  <dimension ref="B1:J60"/>
  <sheetViews>
    <sheetView showGridLines="0" tabSelected="1" zoomScaleNormal="100" workbookViewId="0"/>
  </sheetViews>
  <sheetFormatPr baseColWidth="10" defaultColWidth="8.7109375" defaultRowHeight="15" x14ac:dyDescent="0.25"/>
  <cols>
    <col min="1" max="1" width="3" customWidth="1"/>
    <col min="2" max="2" width="28" customWidth="1"/>
    <col min="3" max="3" width="10.85546875" customWidth="1"/>
    <col min="4" max="4" width="22.85546875" customWidth="1"/>
    <col min="5" max="6" width="12.7109375" customWidth="1"/>
    <col min="7" max="7" width="9.7109375" customWidth="1"/>
    <col min="8" max="8" width="3" customWidth="1"/>
    <col min="9" max="9" width="19.28515625" customWidth="1"/>
    <col min="10" max="10" width="6" customWidth="1"/>
  </cols>
  <sheetData>
    <row r="1" spans="2:10" ht="7.5" customHeight="1" x14ac:dyDescent="0.25"/>
    <row r="2" spans="2:10" ht="48" customHeight="1" x14ac:dyDescent="0.25">
      <c r="B2" s="223" t="s">
        <v>630</v>
      </c>
      <c r="C2" s="223"/>
      <c r="D2" s="223"/>
      <c r="E2" s="223"/>
      <c r="F2" s="223"/>
      <c r="G2" s="223"/>
    </row>
    <row r="3" spans="2:10" ht="7.5" customHeight="1" x14ac:dyDescent="0.25"/>
    <row r="4" spans="2:10" ht="27.75" customHeight="1" x14ac:dyDescent="0.25">
      <c r="B4" s="7" t="s">
        <v>631</v>
      </c>
      <c r="C4" s="7"/>
      <c r="D4" s="7"/>
      <c r="E4" s="7"/>
      <c r="F4" s="7"/>
      <c r="I4" t="s">
        <v>11</v>
      </c>
      <c r="J4" t="s">
        <v>368</v>
      </c>
    </row>
    <row r="5" spans="2:10" ht="30" customHeight="1" x14ac:dyDescent="0.25">
      <c r="B5" s="167" t="s">
        <v>473</v>
      </c>
      <c r="C5" s="167" t="s">
        <v>632</v>
      </c>
      <c r="D5" s="167" t="s">
        <v>633</v>
      </c>
      <c r="E5" s="167" t="s">
        <v>634</v>
      </c>
      <c r="F5" s="167" t="s">
        <v>635</v>
      </c>
      <c r="I5" t="s">
        <v>636</v>
      </c>
      <c r="J5">
        <v>1867</v>
      </c>
    </row>
    <row r="6" spans="2:10" ht="19.5" customHeight="1" x14ac:dyDescent="0.25">
      <c r="B6" s="168" t="s">
        <v>637</v>
      </c>
      <c r="C6" s="169">
        <v>4</v>
      </c>
      <c r="D6" s="117">
        <v>774</v>
      </c>
      <c r="E6" s="170">
        <v>193</v>
      </c>
      <c r="F6" s="171" t="s">
        <v>32</v>
      </c>
      <c r="I6" t="s">
        <v>638</v>
      </c>
      <c r="J6">
        <v>1145</v>
      </c>
    </row>
    <row r="7" spans="2:10" ht="19.5" customHeight="1" x14ac:dyDescent="0.25">
      <c r="B7" s="168" t="s">
        <v>639</v>
      </c>
      <c r="C7" s="169">
        <v>4</v>
      </c>
      <c r="D7" s="117">
        <v>48</v>
      </c>
      <c r="E7" s="170">
        <v>12</v>
      </c>
      <c r="F7" s="171" t="s">
        <v>26</v>
      </c>
      <c r="I7" t="s">
        <v>640</v>
      </c>
      <c r="J7">
        <v>1026</v>
      </c>
    </row>
    <row r="8" spans="2:10" ht="19.5" customHeight="1" x14ac:dyDescent="0.25">
      <c r="B8" s="168" t="s">
        <v>641</v>
      </c>
      <c r="C8" s="169">
        <v>3</v>
      </c>
      <c r="D8" s="117">
        <v>267</v>
      </c>
      <c r="E8" s="170">
        <v>89</v>
      </c>
      <c r="F8" s="171" t="s">
        <v>32</v>
      </c>
      <c r="I8" t="s">
        <v>642</v>
      </c>
      <c r="J8">
        <v>364.2</v>
      </c>
    </row>
    <row r="9" spans="2:10" ht="19.5" customHeight="1" x14ac:dyDescent="0.25">
      <c r="B9" s="26" t="s">
        <v>494</v>
      </c>
      <c r="C9" s="172">
        <v>3</v>
      </c>
      <c r="D9" s="173">
        <v>198</v>
      </c>
      <c r="E9" s="98">
        <v>66</v>
      </c>
      <c r="F9" s="174" t="s">
        <v>32</v>
      </c>
      <c r="I9" t="s">
        <v>643</v>
      </c>
      <c r="J9">
        <v>306</v>
      </c>
    </row>
    <row r="10" spans="2:10" ht="19.5" customHeight="1" x14ac:dyDescent="0.25">
      <c r="B10" s="22" t="s">
        <v>510</v>
      </c>
      <c r="C10" s="175">
        <v>3</v>
      </c>
      <c r="D10" s="176">
        <v>66</v>
      </c>
      <c r="E10" s="95">
        <v>22</v>
      </c>
      <c r="F10" s="177" t="s">
        <v>502</v>
      </c>
      <c r="I10" t="s">
        <v>644</v>
      </c>
      <c r="J10">
        <v>266</v>
      </c>
    </row>
    <row r="11" spans="2:10" ht="19.5" customHeight="1" x14ac:dyDescent="0.25">
      <c r="B11" s="26" t="s">
        <v>512</v>
      </c>
      <c r="C11" s="172">
        <v>3</v>
      </c>
      <c r="D11" s="173">
        <v>87</v>
      </c>
      <c r="E11" s="98">
        <v>29</v>
      </c>
      <c r="F11" s="174" t="s">
        <v>502</v>
      </c>
      <c r="I11" t="s">
        <v>645</v>
      </c>
      <c r="J11">
        <v>248.9</v>
      </c>
    </row>
    <row r="12" spans="2:10" ht="19.5" customHeight="1" x14ac:dyDescent="0.25">
      <c r="B12" s="22" t="s">
        <v>517</v>
      </c>
      <c r="C12" s="175">
        <v>3</v>
      </c>
      <c r="D12" s="176">
        <v>54</v>
      </c>
      <c r="E12" s="95">
        <v>18</v>
      </c>
      <c r="F12" s="177" t="s">
        <v>26</v>
      </c>
      <c r="I12" t="s">
        <v>646</v>
      </c>
      <c r="J12">
        <v>236</v>
      </c>
    </row>
    <row r="13" spans="2:10" ht="19.5" customHeight="1" x14ac:dyDescent="0.25">
      <c r="B13" s="26" t="s">
        <v>479</v>
      </c>
      <c r="C13" s="172">
        <v>2</v>
      </c>
      <c r="D13" s="173">
        <v>296</v>
      </c>
      <c r="E13" s="98">
        <v>148</v>
      </c>
      <c r="F13" s="174" t="s">
        <v>32</v>
      </c>
      <c r="I13" t="s">
        <v>647</v>
      </c>
      <c r="J13">
        <v>90</v>
      </c>
    </row>
    <row r="14" spans="2:10" ht="19.5" customHeight="1" x14ac:dyDescent="0.25">
      <c r="B14" s="22" t="s">
        <v>482</v>
      </c>
      <c r="C14" s="175">
        <v>2</v>
      </c>
      <c r="D14" s="176">
        <v>90</v>
      </c>
      <c r="E14" s="95">
        <v>45</v>
      </c>
      <c r="F14" s="177" t="s">
        <v>32</v>
      </c>
      <c r="I14" t="s">
        <v>185</v>
      </c>
      <c r="J14">
        <v>72</v>
      </c>
    </row>
    <row r="15" spans="2:10" ht="19.5" customHeight="1" x14ac:dyDescent="0.25">
      <c r="B15" s="26" t="s">
        <v>484</v>
      </c>
      <c r="C15" s="172">
        <v>2</v>
      </c>
      <c r="D15" s="173">
        <v>378</v>
      </c>
      <c r="E15" s="98">
        <v>189</v>
      </c>
      <c r="F15" s="174" t="s">
        <v>32</v>
      </c>
    </row>
    <row r="16" spans="2:10" ht="19.5" customHeight="1" x14ac:dyDescent="0.25">
      <c r="B16" s="22" t="s">
        <v>486</v>
      </c>
      <c r="C16" s="175">
        <v>2</v>
      </c>
      <c r="D16" s="176">
        <v>175.2</v>
      </c>
      <c r="E16" s="95">
        <v>87.6</v>
      </c>
      <c r="F16" s="177" t="s">
        <v>32</v>
      </c>
    </row>
    <row r="17" spans="2:6" ht="19.5" customHeight="1" x14ac:dyDescent="0.25">
      <c r="B17" s="26" t="s">
        <v>488</v>
      </c>
      <c r="C17" s="172">
        <v>2</v>
      </c>
      <c r="D17" s="173">
        <v>196</v>
      </c>
      <c r="E17" s="98">
        <v>98</v>
      </c>
      <c r="F17" s="174" t="s">
        <v>32</v>
      </c>
    </row>
    <row r="18" spans="2:6" ht="19.5" customHeight="1" x14ac:dyDescent="0.25">
      <c r="B18" s="22" t="s">
        <v>490</v>
      </c>
      <c r="C18" s="175">
        <v>2</v>
      </c>
      <c r="D18" s="176">
        <v>412</v>
      </c>
      <c r="E18" s="95">
        <v>206</v>
      </c>
      <c r="F18" s="177" t="s">
        <v>32</v>
      </c>
    </row>
    <row r="19" spans="2:6" ht="19.5" customHeight="1" x14ac:dyDescent="0.25">
      <c r="B19" s="26" t="s">
        <v>491</v>
      </c>
      <c r="C19" s="172">
        <v>2</v>
      </c>
      <c r="D19" s="173">
        <v>296</v>
      </c>
      <c r="E19" s="98">
        <v>148</v>
      </c>
      <c r="F19" s="174" t="s">
        <v>32</v>
      </c>
    </row>
    <row r="20" spans="2:6" ht="19.5" customHeight="1" x14ac:dyDescent="0.25">
      <c r="B20" s="22" t="s">
        <v>493</v>
      </c>
      <c r="C20" s="175">
        <v>2</v>
      </c>
      <c r="D20" s="176">
        <v>90</v>
      </c>
      <c r="E20" s="95">
        <v>45</v>
      </c>
      <c r="F20" s="177" t="s">
        <v>32</v>
      </c>
    </row>
    <row r="21" spans="2:6" ht="19.5" customHeight="1" x14ac:dyDescent="0.25">
      <c r="B21" s="26" t="s">
        <v>498</v>
      </c>
      <c r="C21" s="172">
        <v>2</v>
      </c>
      <c r="D21" s="173">
        <v>196</v>
      </c>
      <c r="E21" s="98">
        <v>98</v>
      </c>
      <c r="F21" s="174" t="s">
        <v>32</v>
      </c>
    </row>
    <row r="22" spans="2:6" ht="19.5" customHeight="1" x14ac:dyDescent="0.25">
      <c r="B22" s="22" t="s">
        <v>506</v>
      </c>
      <c r="C22" s="175">
        <v>2</v>
      </c>
      <c r="D22" s="176">
        <v>44</v>
      </c>
      <c r="E22" s="95">
        <v>22</v>
      </c>
      <c r="F22" s="177" t="s">
        <v>502</v>
      </c>
    </row>
    <row r="23" spans="2:6" ht="19.5" customHeight="1" x14ac:dyDescent="0.25">
      <c r="B23" s="26" t="s">
        <v>509</v>
      </c>
      <c r="C23" s="172">
        <v>2</v>
      </c>
      <c r="D23" s="173">
        <v>90</v>
      </c>
      <c r="E23" s="98">
        <v>45</v>
      </c>
      <c r="F23" s="174" t="s">
        <v>502</v>
      </c>
    </row>
    <row r="24" spans="2:6" ht="19.5" customHeight="1" x14ac:dyDescent="0.25">
      <c r="B24" s="22" t="s">
        <v>511</v>
      </c>
      <c r="C24" s="175">
        <v>2</v>
      </c>
      <c r="D24" s="176">
        <v>64</v>
      </c>
      <c r="E24" s="95">
        <v>32</v>
      </c>
      <c r="F24" s="177" t="s">
        <v>502</v>
      </c>
    </row>
    <row r="25" spans="2:6" ht="19.5" customHeight="1" x14ac:dyDescent="0.25">
      <c r="B25" s="26" t="s">
        <v>513</v>
      </c>
      <c r="C25" s="172">
        <v>2</v>
      </c>
      <c r="D25" s="173">
        <v>70</v>
      </c>
      <c r="E25" s="98">
        <v>35</v>
      </c>
      <c r="F25" s="174" t="s">
        <v>502</v>
      </c>
    </row>
    <row r="26" spans="2:6" ht="9.75" customHeight="1" x14ac:dyDescent="0.25"/>
    <row r="28" spans="2:6" ht="27.75" customHeight="1" x14ac:dyDescent="0.25">
      <c r="B28" s="7" t="s">
        <v>648</v>
      </c>
      <c r="C28" s="7"/>
      <c r="D28" s="7"/>
      <c r="E28" s="7"/>
      <c r="F28" s="7"/>
    </row>
    <row r="29" spans="2:6" ht="30" customHeight="1" x14ac:dyDescent="0.25">
      <c r="B29" s="178" t="s">
        <v>11</v>
      </c>
      <c r="C29" s="178" t="s">
        <v>649</v>
      </c>
      <c r="D29" s="178" t="s">
        <v>650</v>
      </c>
      <c r="E29" s="178" t="s">
        <v>651</v>
      </c>
      <c r="F29" s="178" t="s">
        <v>652</v>
      </c>
    </row>
    <row r="30" spans="2:6" ht="21" customHeight="1" x14ac:dyDescent="0.25">
      <c r="B30" s="74" t="s">
        <v>478</v>
      </c>
      <c r="C30" s="154">
        <v>8</v>
      </c>
      <c r="D30" s="95">
        <v>1867</v>
      </c>
      <c r="E30" s="179">
        <v>0.33214139581220797</v>
      </c>
      <c r="F30" s="154">
        <v>16</v>
      </c>
    </row>
    <row r="31" spans="2:6" ht="21" customHeight="1" x14ac:dyDescent="0.25">
      <c r="B31" s="79" t="s">
        <v>480</v>
      </c>
      <c r="C31" s="155">
        <v>5</v>
      </c>
      <c r="D31" s="98">
        <v>1145</v>
      </c>
      <c r="E31" s="180">
        <v>0.20369678532671501</v>
      </c>
      <c r="F31" s="155">
        <v>11</v>
      </c>
    </row>
    <row r="32" spans="2:6" ht="21" customHeight="1" x14ac:dyDescent="0.25">
      <c r="B32" s="74" t="s">
        <v>485</v>
      </c>
      <c r="C32" s="154">
        <v>7</v>
      </c>
      <c r="D32" s="95">
        <v>1026</v>
      </c>
      <c r="E32" s="179">
        <v>0.18252655174254201</v>
      </c>
      <c r="F32" s="154">
        <v>17</v>
      </c>
    </row>
    <row r="33" spans="2:6" ht="21" customHeight="1" x14ac:dyDescent="0.25">
      <c r="B33" s="79" t="s">
        <v>487</v>
      </c>
      <c r="C33" s="155">
        <v>2</v>
      </c>
      <c r="D33" s="98">
        <v>364.2</v>
      </c>
      <c r="E33" s="180">
        <v>6.4791588834925501E-2</v>
      </c>
      <c r="F33" s="155">
        <v>3</v>
      </c>
    </row>
    <row r="34" spans="2:6" ht="21" customHeight="1" x14ac:dyDescent="0.25">
      <c r="B34" s="74" t="s">
        <v>504</v>
      </c>
      <c r="C34" s="154">
        <v>7</v>
      </c>
      <c r="D34" s="95">
        <v>306</v>
      </c>
      <c r="E34" s="179">
        <v>5.4437743502161497E-2</v>
      </c>
      <c r="F34" s="154">
        <v>10</v>
      </c>
    </row>
    <row r="35" spans="2:6" ht="21" customHeight="1" x14ac:dyDescent="0.25">
      <c r="B35" s="79" t="s">
        <v>499</v>
      </c>
      <c r="C35" s="155">
        <v>2</v>
      </c>
      <c r="D35" s="98">
        <v>266</v>
      </c>
      <c r="E35" s="180">
        <v>4.7321698599918201E-2</v>
      </c>
      <c r="F35" s="155">
        <v>4</v>
      </c>
    </row>
    <row r="36" spans="2:6" ht="21" customHeight="1" x14ac:dyDescent="0.25">
      <c r="B36" s="74" t="s">
        <v>483</v>
      </c>
      <c r="C36" s="154">
        <v>3</v>
      </c>
      <c r="D36" s="95">
        <v>248.9</v>
      </c>
      <c r="E36" s="179">
        <v>4.4279589404209098E-2</v>
      </c>
      <c r="F36" s="154">
        <v>4</v>
      </c>
    </row>
    <row r="37" spans="2:6" ht="21" customHeight="1" x14ac:dyDescent="0.25">
      <c r="B37" s="79" t="s">
        <v>495</v>
      </c>
      <c r="C37" s="155">
        <v>2</v>
      </c>
      <c r="D37" s="98">
        <v>236</v>
      </c>
      <c r="E37" s="180">
        <v>4.1984664923235701E-2</v>
      </c>
      <c r="F37" s="155">
        <v>5</v>
      </c>
    </row>
    <row r="38" spans="2:6" ht="21" customHeight="1" x14ac:dyDescent="0.25">
      <c r="B38" s="74" t="s">
        <v>518</v>
      </c>
      <c r="C38" s="154">
        <v>2</v>
      </c>
      <c r="D38" s="95">
        <v>90</v>
      </c>
      <c r="E38" s="179">
        <v>1.6011101030047499E-2</v>
      </c>
      <c r="F38" s="154">
        <v>5</v>
      </c>
    </row>
    <row r="39" spans="2:6" ht="21" customHeight="1" x14ac:dyDescent="0.25">
      <c r="B39" s="79" t="s">
        <v>521</v>
      </c>
      <c r="C39" s="155">
        <v>3</v>
      </c>
      <c r="D39" s="98">
        <v>72</v>
      </c>
      <c r="E39" s="180">
        <v>1.2808880824037999E-2</v>
      </c>
      <c r="F39" s="155">
        <v>4</v>
      </c>
    </row>
    <row r="42" spans="2:6" ht="27.75" customHeight="1" x14ac:dyDescent="0.25">
      <c r="B42" s="7" t="s">
        <v>653</v>
      </c>
      <c r="C42" s="7"/>
      <c r="D42" s="7"/>
      <c r="E42" s="7"/>
      <c r="F42" s="7"/>
    </row>
    <row r="43" spans="2:6" ht="30" customHeight="1" x14ac:dyDescent="0.25">
      <c r="B43" s="181" t="s">
        <v>472</v>
      </c>
      <c r="C43" s="181" t="s">
        <v>654</v>
      </c>
      <c r="D43" s="181" t="s">
        <v>655</v>
      </c>
      <c r="E43" s="181" t="s">
        <v>656</v>
      </c>
      <c r="F43" s="181" t="s">
        <v>657</v>
      </c>
    </row>
    <row r="44" spans="2:6" ht="21.75" customHeight="1" x14ac:dyDescent="0.25">
      <c r="B44" s="74" t="s">
        <v>32</v>
      </c>
      <c r="C44" s="154">
        <v>3</v>
      </c>
      <c r="D44" s="95">
        <v>4548.1000000000004</v>
      </c>
      <c r="E44" s="95">
        <v>1516.0333333333299</v>
      </c>
      <c r="F44" s="179">
        <v>0.80911209549732299</v>
      </c>
    </row>
    <row r="45" spans="2:6" ht="21.75" customHeight="1" x14ac:dyDescent="0.25">
      <c r="B45" s="79" t="s">
        <v>502</v>
      </c>
      <c r="C45" s="155">
        <v>1</v>
      </c>
      <c r="D45" s="98">
        <v>683</v>
      </c>
      <c r="E45" s="98">
        <v>683</v>
      </c>
      <c r="F45" s="180">
        <v>0.12150646670580501</v>
      </c>
    </row>
    <row r="46" spans="2:6" ht="21.75" customHeight="1" x14ac:dyDescent="0.25">
      <c r="B46" s="74" t="s">
        <v>26</v>
      </c>
      <c r="C46" s="154">
        <v>3</v>
      </c>
      <c r="D46" s="95">
        <v>390</v>
      </c>
      <c r="E46" s="95">
        <v>130</v>
      </c>
      <c r="F46" s="179">
        <v>6.9381437796872503E-2</v>
      </c>
    </row>
    <row r="49" spans="2:7" ht="27.75" customHeight="1" x14ac:dyDescent="0.25">
      <c r="B49" s="224" t="s">
        <v>658</v>
      </c>
      <c r="C49" s="224"/>
      <c r="D49" s="224"/>
      <c r="E49" s="224"/>
      <c r="F49" s="224"/>
    </row>
    <row r="50" spans="2:7" ht="30" customHeight="1" x14ac:dyDescent="0.25">
      <c r="B50" s="182" t="s">
        <v>473</v>
      </c>
      <c r="C50" s="182" t="s">
        <v>659</v>
      </c>
      <c r="D50" s="182" t="s">
        <v>660</v>
      </c>
      <c r="E50" s="182" t="s">
        <v>661</v>
      </c>
      <c r="F50" s="182" t="s">
        <v>662</v>
      </c>
      <c r="G50" s="182" t="s">
        <v>663</v>
      </c>
    </row>
    <row r="51" spans="2:7" ht="19.5" customHeight="1" x14ac:dyDescent="0.25">
      <c r="B51" s="116" t="s">
        <v>477</v>
      </c>
      <c r="C51" s="116" t="s">
        <v>251</v>
      </c>
      <c r="D51" s="118">
        <v>195</v>
      </c>
      <c r="E51" s="116" t="s">
        <v>229</v>
      </c>
      <c r="F51" s="118">
        <v>189</v>
      </c>
      <c r="G51" s="183">
        <v>-3.0769230769230799E-2</v>
      </c>
    </row>
    <row r="54" spans="2:7" ht="27.75" customHeight="1" x14ac:dyDescent="0.25">
      <c r="B54" s="11" t="s">
        <v>664</v>
      </c>
      <c r="C54" s="11"/>
      <c r="D54" s="11"/>
      <c r="E54" s="11"/>
      <c r="F54" s="11"/>
    </row>
    <row r="55" spans="2:7" ht="30" customHeight="1" x14ac:dyDescent="0.25">
      <c r="B55" s="184" t="s">
        <v>473</v>
      </c>
      <c r="C55" s="184" t="s">
        <v>665</v>
      </c>
      <c r="D55" s="184" t="s">
        <v>666</v>
      </c>
      <c r="E55" s="184" t="s">
        <v>667</v>
      </c>
      <c r="F55" s="184" t="s">
        <v>668</v>
      </c>
    </row>
    <row r="56" spans="2:7" ht="21.75" customHeight="1" x14ac:dyDescent="0.25">
      <c r="B56" s="185" t="s">
        <v>669</v>
      </c>
      <c r="C56" s="186">
        <v>22</v>
      </c>
      <c r="D56" s="187" t="s">
        <v>670</v>
      </c>
      <c r="E56" s="188">
        <v>7.5</v>
      </c>
      <c r="F56" s="189">
        <v>0.51724137931034497</v>
      </c>
    </row>
    <row r="57" spans="2:7" ht="21.75" customHeight="1" x14ac:dyDescent="0.25">
      <c r="B57" s="185" t="s">
        <v>671</v>
      </c>
      <c r="C57" s="186">
        <v>18</v>
      </c>
      <c r="D57" s="187" t="s">
        <v>672</v>
      </c>
      <c r="E57" s="188">
        <v>8.5</v>
      </c>
      <c r="F57" s="189">
        <v>0.89473684210526305</v>
      </c>
    </row>
    <row r="58" spans="2:7" ht="21.75" customHeight="1" x14ac:dyDescent="0.25">
      <c r="B58" s="185" t="s">
        <v>673</v>
      </c>
      <c r="C58" s="186">
        <v>19</v>
      </c>
      <c r="D58" s="187" t="s">
        <v>674</v>
      </c>
      <c r="E58" s="188">
        <v>13.5</v>
      </c>
      <c r="F58" s="189">
        <v>2.4545454545454599</v>
      </c>
    </row>
    <row r="59" spans="2:7" ht="21.75" customHeight="1" x14ac:dyDescent="0.25">
      <c r="B59" s="185" t="s">
        <v>675</v>
      </c>
      <c r="C59" s="186">
        <v>12</v>
      </c>
      <c r="D59" s="187" t="s">
        <v>676</v>
      </c>
      <c r="E59" s="188">
        <v>4</v>
      </c>
      <c r="F59" s="189">
        <v>0.5</v>
      </c>
    </row>
    <row r="60" spans="2:7" ht="21.75" customHeight="1" x14ac:dyDescent="0.25">
      <c r="B60" s="185" t="s">
        <v>677</v>
      </c>
      <c r="C60" s="186">
        <v>42</v>
      </c>
      <c r="D60" s="187" t="s">
        <v>678</v>
      </c>
      <c r="E60" s="188">
        <v>14</v>
      </c>
      <c r="F60" s="189">
        <v>0.5</v>
      </c>
    </row>
  </sheetData>
  <mergeCells count="6">
    <mergeCell ref="B54:F54"/>
    <mergeCell ref="B2:G2"/>
    <mergeCell ref="B4:F4"/>
    <mergeCell ref="B28:F28"/>
    <mergeCell ref="B42:F42"/>
    <mergeCell ref="B49:F4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🔍 Diagnóstico</vt:lpstr>
      <vt:lpstr>💡 Plan de Acción</vt:lpstr>
      <vt:lpstr>📈 Proyección</vt:lpstr>
      <vt:lpstr>⚙️ Configuración</vt:lpstr>
      <vt:lpstr>📝 Transacciones</vt:lpstr>
      <vt:lpstr>📊 Dashboard</vt:lpstr>
      <vt:lpstr>🏦 Plan Ahorro</vt:lpstr>
      <vt:lpstr>📖 Guía de Uso</vt:lpstr>
      <vt:lpstr>📥 Banamex Importado</vt:lpstr>
      <vt:lpstr>🧾 Tickets-Productos</vt:lpstr>
      <vt:lpstr>📊 Análisis Tickets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Raúl O. Astudillo</cp:lastModifiedBy>
  <cp:revision>10</cp:revision>
  <dcterms:created xsi:type="dcterms:W3CDTF">2026-05-07T19:44:02Z</dcterms:created>
  <dcterms:modified xsi:type="dcterms:W3CDTF">2026-06-01T23:36:00Z</dcterms:modified>
  <dc:language>en-US</dc:language>
</cp:coreProperties>
</file>