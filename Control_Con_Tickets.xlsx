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0"/>
  </bookViews>
  <sheets>
    <sheet name="🔍 Diagnóstico" sheetId="1" state="visible" r:id="rId3"/>
    <sheet name="💡 Plan de Acción" sheetId="2" state="visible" r:id="rId4"/>
    <sheet name="📈 Proyección" sheetId="3" state="visible" r:id="rId5"/>
    <sheet name="⚙️ Configuración" sheetId="4" state="visible" r:id="rId6"/>
    <sheet name="📝 Transacciones" sheetId="5" state="visible" r:id="rId7"/>
    <sheet name="📊 Dashboard" sheetId="6" state="visible" r:id="rId8"/>
    <sheet name="🏦 Plan Ahorro" sheetId="7" state="visible" r:id="rId9"/>
    <sheet name="📖 Guía de Uso" sheetId="8" state="visible" r:id="rId10"/>
    <sheet name="📥 Banamex Importado" sheetId="9" state="visible" r:id="rId11"/>
    <sheet name="🧾 Tickets-Productos" sheetId="10" state="visible" r:id="rId12"/>
    <sheet name="📊 Análisis Tickets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<sst xmlns="http://schemas.openxmlformats.org/spreadsheetml/2006/main" count="2132" uniqueCount="696">
  <si>
    <t xml:space="preserve">🔍  DIAGNÓSTICO FINANCIERO — Tarjeta Costco Banamex</t>
  </si>
  <si>
    <t xml:space="preserve">Período analizado: 16-mar-2026 al 21-abr-2026  (37 días)</t>
  </si>
  <si>
    <t xml:space="preserve">💸 Gastos totales
(37 días)</t>
  </si>
  <si>
    <t xml:space="preserve">💳 Pagos realizados
(37 días)</t>
  </si>
  <si>
    <t xml:space="preserve">⚠️ Saldo pendiente</t>
  </si>
  <si>
    <t xml:space="preserve">🔥 CAT tarjeta</t>
  </si>
  <si>
    <t xml:space="preserve">$21,790</t>
  </si>
  <si>
    <t xml:space="preserve">$12,675</t>
  </si>
  <si>
    <t xml:space="preserve">$9,115</t>
  </si>
  <si>
    <t xml:space="preserve">81.5%</t>
  </si>
  <si>
    <t xml:space="preserve">📊  DESGLOSE REAL DE GASTOS (período analizado)</t>
  </si>
  <si>
    <t xml:space="preserve">Categoría</t>
  </si>
  <si>
    <t xml:space="preserve">Gasto Real</t>
  </si>
  <si>
    <t xml:space="preserve">% del total</t>
  </si>
  <si>
    <t xml:space="preserve">Evaluación</t>
  </si>
  <si>
    <t xml:space="preserve">🛒 Despensa / Súper (Costco+Soriana)</t>
  </si>
  <si>
    <t xml:space="preserve">Costco principal, revisar frecuencia de visitas</t>
  </si>
  <si>
    <t xml:space="preserve">Despensa</t>
  </si>
  <si>
    <t xml:space="preserve">⛽ Gasolina</t>
  </si>
  <si>
    <t xml:space="preserve">Alta — ¿optimizar rutas?</t>
  </si>
  <si>
    <t xml:space="preserve">Gasolina</t>
  </si>
  <si>
    <t xml:space="preserve">🍔 Comida rápida y restaurantes</t>
  </si>
  <si>
    <t xml:space="preserve">9 visitas en 37 días — fuga importante</t>
  </si>
  <si>
    <t xml:space="preserve">Comida</t>
  </si>
  <si>
    <t xml:space="preserve">🏪 OXXO / Tiendas conveniencia</t>
  </si>
  <si>
    <t xml:space="preserve">9 visitas — compras impulsivas frecuentes</t>
  </si>
  <si>
    <t xml:space="preserve">OXXO</t>
  </si>
  <si>
    <t xml:space="preserve">💊 Salud (farmacia+dental+médico)</t>
  </si>
  <si>
    <t xml:space="preserve">Necesario, pero buscar seguro médico</t>
  </si>
  <si>
    <t xml:space="preserve">Salud</t>
  </si>
  <si>
    <t xml:space="preserve">📆 Costco a meses (cuota mensual)</t>
  </si>
  <si>
    <t xml:space="preserve">5 pagos restantes de $1,200</t>
  </si>
  <si>
    <t xml:space="preserve">Costco</t>
  </si>
  <si>
    <t xml:space="preserve">🛍️ Compras online (Amazon+otros)</t>
  </si>
  <si>
    <t xml:space="preserve">Evaluar necesidad real</t>
  </si>
  <si>
    <t xml:space="preserve">Compras</t>
  </si>
  <si>
    <t xml:space="preserve">👗 Ropa SHEIN</t>
  </si>
  <si>
    <t xml:space="preserve">$855 en una sola compra — evitable</t>
  </si>
  <si>
    <t xml:space="preserve">Ropa</t>
  </si>
  <si>
    <t xml:space="preserve">☕ Caffenio (8 recargas)</t>
  </si>
  <si>
    <t xml:space="preserve">$850/mes en café — alta prioridad eliminar</t>
  </si>
  <si>
    <t xml:space="preserve">Caffenio</t>
  </si>
  <si>
    <t xml:space="preserve">📱 Celular Telcel</t>
  </si>
  <si>
    <t xml:space="preserve">Fijo mensual</t>
  </si>
  <si>
    <t xml:space="preserve">Celular</t>
  </si>
  <si>
    <t xml:space="preserve">🎬 Netflix</t>
  </si>
  <si>
    <t xml:space="preserve">¿Realmente lo usas?</t>
  </si>
  <si>
    <t xml:space="preserve">Netflix</t>
  </si>
  <si>
    <t xml:space="preserve">💰 GBM Forjadores</t>
  </si>
  <si>
    <t xml:space="preserve">Esto es inversión — ¡mantenerlo!</t>
  </si>
  <si>
    <t xml:space="preserve">GBM</t>
  </si>
  <si>
    <t xml:space="preserve">TOTAL CARGOS</t>
  </si>
  <si>
    <t xml:space="preserve">🚨  PROBLEMAS DETECTADOS</t>
  </si>
  <si>
    <t xml:space="preserve">1️⃣  Gastas más de lo que ganas</t>
  </si>
  <si>
    <t xml:space="preserve">Con salario ~$10,000/mes, gastaste $21,790 en solo 37 días. Dependes de la tarjeta para cubrir la diferencia.</t>
  </si>
  <si>
    <t xml:space="preserve">2️⃣  CAT del 81.5% — la tarjeta más cara de tu cartera</t>
  </si>
  <si>
    <t xml:space="preserve">Si no liquidas el saldo completo cada mes, los intereses te comen vivo. Por ley este banco cobra 58% anual ordinario.</t>
  </si>
  <si>
    <t xml:space="preserve">3️⃣  34% de tus gastos son discrecionales reducibles</t>
  </si>
  <si>
    <t xml:space="preserve">Comida rápida + OXXO + Caffenio + SHEIN + compras online = $7,464. Dinero que podría ser ahorro.</t>
  </si>
  <si>
    <t xml:space="preserve">4️⃣  Sin colchón de emergencia</t>
  </si>
  <si>
    <t xml:space="preserve">Sin fondo de emergencia, cualquier imprevisto (salud, carro) va directo a la tarjeta, generando deuda cara.</t>
  </si>
  <si>
    <t xml:space="preserve">5️⃣  OXXO es tu fuga más silenciosa</t>
  </si>
  <si>
    <t xml:space="preserve">9 visitas, $1,902. En promedio $211 por visita. Son compras de conveniencia que en Costco costarían la mitad.</t>
  </si>
  <si>
    <t xml:space="preserve">💡  PLAN DE ACCIÓN — Tu Ruta Hacia el Equilibrio Financiero</t>
  </si>
  <si>
    <t xml:space="preserve">Meta: Liquidar deuda tarjeta + construir fondo de emergencia + comenzar a invertir</t>
  </si>
  <si>
    <t xml:space="preserve">💰  PRESUPUESTO MENSUAL OBJETIVO (Salario $10,000/mes estimado)</t>
  </si>
  <si>
    <t xml:space="preserve">Gasto Actual</t>
  </si>
  <si>
    <t xml:space="preserve">Presupuesto Meta</t>
  </si>
  <si>
    <t xml:space="preserve">Ahorro Mensual</t>
  </si>
  <si>
    <t xml:space="preserve">Actual</t>
  </si>
  <si>
    <t xml:space="preserve">Meta</t>
  </si>
  <si>
    <t xml:space="preserve">🛒 Despensa/Súper</t>
  </si>
  <si>
    <t xml:space="preserve">Planear lista semanal, reducir visitas Costco espontáneas</t>
  </si>
  <si>
    <t xml:space="preserve">🛒 Despensa/Súpe</t>
  </si>
  <si>
    <t xml:space="preserve">Consolidar viajes, verificar rutas eficientes</t>
  </si>
  <si>
    <t xml:space="preserve">🍔 Comida rápida/restaurantes</t>
  </si>
  <si>
    <t xml:space="preserve">Máx 2 salidas/semana. Cocinar en casa.</t>
  </si>
  <si>
    <t xml:space="preserve">🍔 Comida rápida</t>
  </si>
  <si>
    <t xml:space="preserve">🏪 OXXO/Conveniencia</t>
  </si>
  <si>
    <t xml:space="preserve">SOLO emergencias. Comprar en Costco o Soriana.</t>
  </si>
  <si>
    <t xml:space="preserve">🏪 OXXO/Convenie</t>
  </si>
  <si>
    <t xml:space="preserve">☕ Caffenio</t>
  </si>
  <si>
    <t xml:space="preserve">Eliminar. Café en casa = $0. Ahorro: $700/mes</t>
  </si>
  <si>
    <t xml:space="preserve">💊 Salud</t>
  </si>
  <si>
    <t xml:space="preserve">Mantener. Considerar seguro médico familiar</t>
  </si>
  <si>
    <t xml:space="preserve">📆 Costco a meses (cuota)</t>
  </si>
  <si>
    <t xml:space="preserve">Comprometido hasta liquidar (5 meses restantes)</t>
  </si>
  <si>
    <t xml:space="preserve">📆 Costco a mese</t>
  </si>
  <si>
    <t xml:space="preserve">🛍️ Compras online</t>
  </si>
  <si>
    <t xml:space="preserve">Solo si es necesidad real, no impulso</t>
  </si>
  <si>
    <t xml:space="preserve">🛍️ Compras onli</t>
  </si>
  <si>
    <t xml:space="preserve">👗 Ropa/Personal</t>
  </si>
  <si>
    <t xml:space="preserve">Presupuesto fijo trimestral, no mensual</t>
  </si>
  <si>
    <t xml:space="preserve">Revisar plan, ¿hay uno más barato?</t>
  </si>
  <si>
    <t xml:space="preserve">📱 Celular Telce</t>
  </si>
  <si>
    <t xml:space="preserve">Mantener si lo usas, cancelar si no</t>
  </si>
  <si>
    <t xml:space="preserve">💰 GBM/Inversión</t>
  </si>
  <si>
    <t xml:space="preserve">¡AUMENTAR! Es lo único que genera riqueza</t>
  </si>
  <si>
    <t xml:space="preserve">🆘 Fondo de Emergencia</t>
  </si>
  <si>
    <t xml:space="preserve">NUEVO — prioritario hasta tener $30,000</t>
  </si>
  <si>
    <t xml:space="preserve">🆘 Fondo de Emer</t>
  </si>
  <si>
    <t xml:space="preserve">💳 Pago extra deuda tarjeta</t>
  </si>
  <si>
    <t xml:space="preserve">Para liquidar antes los $9,115 pendientes</t>
  </si>
  <si>
    <t xml:space="preserve">💳 Pago extra de</t>
  </si>
  <si>
    <t xml:space="preserve">TOTAL</t>
  </si>
  <si>
    <t xml:space="preserve">Salario mensual estimado</t>
  </si>
  <si>
    <t xml:space="preserve">Saldo libre con presupuesto meta</t>
  </si>
  <si>
    <t xml:space="preserve">🗓️  PLAN MES A MES — 6 MESES</t>
  </si>
  <si>
    <t xml:space="preserve">Mes</t>
  </si>
  <si>
    <t xml:space="preserve">Prioridad</t>
  </si>
  <si>
    <t xml:space="preserve">Meta concreta</t>
  </si>
  <si>
    <t xml:space="preserve">Resultado esperado</t>
  </si>
  <si>
    <t xml:space="preserve">Mayo 2026</t>
  </si>
  <si>
    <t xml:space="preserve">🔴 URGENTE</t>
  </si>
  <si>
    <t xml:space="preserve">1) Para tarjeta en 0 cada corte. 2) Elimina Caffenio. 3) Máx 2 salidas a comer.</t>
  </si>
  <si>
    <t xml:space="preserve">Reducir gasto mensual a ~$8,500. Sin intereses tarjeta.</t>
  </si>
  <si>
    <t xml:space="preserve">Junio 2026</t>
  </si>
  <si>
    <t xml:space="preserve">1) Liquida el saldo pendiente $9,115 usando el ahorro de gastos. 2) Abre CETES Directo.</t>
  </si>
  <si>
    <t xml:space="preserve">Tarjeta en $0. Primera inversión en CETES $500.</t>
  </si>
  <si>
    <t xml:space="preserve">Julio 2026</t>
  </si>
  <si>
    <t xml:space="preserve">🟡 CONSTRUIR</t>
  </si>
  <si>
    <t xml:space="preserve">1) Inicia fondo emergencia ($500/quincena). 2) Sube aportación GBM a $500/mes.</t>
  </si>
  <si>
    <t xml:space="preserve">Fondo emergencia: $1,000. Inversiones: $1,000.</t>
  </si>
  <si>
    <t xml:space="preserve">Agosto 2026</t>
  </si>
  <si>
    <t xml:space="preserve">1) Evalúa cancelar Netflix si no lo usas. 2) Continúa fondo emergencia.</t>
  </si>
  <si>
    <t xml:space="preserve">Fondo emergencia: $3,000. Inversiones: $1,500.</t>
  </si>
  <si>
    <t xml:space="preserve">Sept 2026</t>
  </si>
  <si>
    <t xml:space="preserve">🟢 CRECER</t>
  </si>
  <si>
    <t xml:space="preserve">1) Fondo emergencia meta $15,000. 2) Evalúa ETF o fondo índice para largo plazo.</t>
  </si>
  <si>
    <t xml:space="preserve">Fondo emergencia: $5,000. Inversiones: $2,500.</t>
  </si>
  <si>
    <t xml:space="preserve">Oct 2026</t>
  </si>
  <si>
    <t xml:space="preserve">1) Costco a meses termina (último pago). 2) Esos $1,200 → ahorro/inversión.</t>
  </si>
  <si>
    <t xml:space="preserve">Sin deudas a meses. Inversión mensual: $1,700.</t>
  </si>
  <si>
    <t xml:space="preserve">📈  PROYECCIÓN — Liquidación de Deuda + Crecimiento de Ahorro</t>
  </si>
  <si>
    <t xml:space="preserve">⚙️  PARÁMETROS (editables en azul)</t>
  </si>
  <si>
    <t xml:space="preserve">Saldo deuda tarjeta ($)</t>
  </si>
  <si>
    <t xml:space="preserve">Pago extra mensual ($)</t>
  </si>
  <si>
    <t xml:space="preserve">CAT tarjeta anual (%)</t>
  </si>
  <si>
    <t xml:space="preserve">Ahorro mensual ($)</t>
  </si>
  <si>
    <t xml:space="preserve">Inversión mensual ($)</t>
  </si>
  <si>
    <t xml:space="preserve">Rendimiento inversión (%)</t>
  </si>
  <si>
    <t xml:space="preserve">📅  PROYECCIÓN MES A MES (12 meses)</t>
  </si>
  <si>
    <t xml:space="preserve">Deuda</t>
  </si>
  <si>
    <t xml:space="preserve">Ahorro</t>
  </si>
  <si>
    <t xml:space="preserve">Inversión</t>
  </si>
  <si>
    <t xml:space="preserve">Saldo Deuda</t>
  </si>
  <si>
    <t xml:space="preserve">Int.Mes</t>
  </si>
  <si>
    <t xml:space="preserve">Pago Deuda</t>
  </si>
  <si>
    <t xml:space="preserve">Saldo Ahorro</t>
  </si>
  <si>
    <t xml:space="preserve">Saldo Inversión</t>
  </si>
  <si>
    <t xml:space="preserve">Mayo 26</t>
  </si>
  <si>
    <t xml:space="preserve">Junio 26</t>
  </si>
  <si>
    <t xml:space="preserve">Julio 26</t>
  </si>
  <si>
    <t xml:space="preserve">Agosto 26</t>
  </si>
  <si>
    <t xml:space="preserve">Sept 26</t>
  </si>
  <si>
    <t xml:space="preserve">Oct 26</t>
  </si>
  <si>
    <t xml:space="preserve">Nov 26</t>
  </si>
  <si>
    <t xml:space="preserve">Dic 26</t>
  </si>
  <si>
    <t xml:space="preserve">Enero 27</t>
  </si>
  <si>
    <t xml:space="preserve">Feb 27</t>
  </si>
  <si>
    <t xml:space="preserve">Marzo 27</t>
  </si>
  <si>
    <t xml:space="preserve">Abril 27</t>
  </si>
  <si>
    <t xml:space="preserve">✅  Con $500/mes extra, tu deuda actual de $9,115 queda liquidada antes de 2 años (considerando intereses del 58% anual). ¡Con $1,000/mes extra, en ~10 meses!</t>
  </si>
  <si>
    <t xml:space="preserve">💰  SISTEMA DE CONTROL FINANCIERO PERSONAL</t>
  </si>
  <si>
    <t xml:space="preserve">Servicio Básico</t>
  </si>
  <si>
    <t xml:space="preserve">Ingresa tu salario y presupuesto base — todo lo demás se calcula automáticamente</t>
  </si>
  <si>
    <t xml:space="preserve">Educación/Salud</t>
  </si>
  <si>
    <t xml:space="preserve">Transporte</t>
  </si>
  <si>
    <t xml:space="preserve">📋  DATOS GENERALES</t>
  </si>
  <si>
    <t xml:space="preserve">Vivienda</t>
  </si>
  <si>
    <t xml:space="preserve">Salario Quincenal Neto</t>
  </si>
  <si>
    <t xml:space="preserve">Alimentación</t>
  </si>
  <si>
    <t xml:space="preserve">Salario Mensual (x2)</t>
  </si>
  <si>
    <t xml:space="preserve">Meta de Ahorro (%)</t>
  </si>
  <si>
    <t xml:space="preserve">Entretenimiento</t>
  </si>
  <si>
    <t xml:space="preserve">Meta de Inversión (%)</t>
  </si>
  <si>
    <t xml:space="preserve">Comunicación</t>
  </si>
  <si>
    <t xml:space="preserve">Fondo de Emergencia (meses de gastos)</t>
  </si>
  <si>
    <t xml:space="preserve">Ropa/Personal</t>
  </si>
  <si>
    <t xml:space="preserve">Deudas/Crédito</t>
  </si>
  <si>
    <t xml:space="preserve">🏠  GASTOS FIJOS MENSUALES (Editables)</t>
  </si>
  <si>
    <t xml:space="preserve">Presupuesto Mensual ($)</t>
  </si>
  <si>
    <t xml:space="preserve">Presupuesto Quincenal ($)</t>
  </si>
  <si>
    <t xml:space="preserve">Tipo</t>
  </si>
  <si>
    <t xml:space="preserve">Luz (CFE)</t>
  </si>
  <si>
    <t xml:space="preserve">Otros</t>
  </si>
  <si>
    <t xml:space="preserve">Internet</t>
  </si>
  <si>
    <t xml:space="preserve">Gas</t>
  </si>
  <si>
    <t xml:space="preserve">Monitor/Terapeuta hijo</t>
  </si>
  <si>
    <t xml:space="preserve">Renta/Hipoteca</t>
  </si>
  <si>
    <t xml:space="preserve">Agua</t>
  </si>
  <si>
    <t xml:space="preserve">Seguro Coche</t>
  </si>
  <si>
    <t xml:space="preserve">Streaming/Suscripciones</t>
  </si>
  <si>
    <t xml:space="preserve">Despensa / Súper</t>
  </si>
  <si>
    <t xml:space="preserve">Otros fijos</t>
  </si>
  <si>
    <t xml:space="preserve">TOTAL GASTOS FIJOS</t>
  </si>
  <si>
    <t xml:space="preserve">📊  RESUMEN FINANCIERO RÁPIDO</t>
  </si>
  <si>
    <t xml:space="preserve">Salario Mensual</t>
  </si>
  <si>
    <t xml:space="preserve">(-) Total Gastos Fijos</t>
  </si>
  <si>
    <t xml:space="preserve">(-) Meta Ahorro</t>
  </si>
  <si>
    <t xml:space="preserve">(-) Meta Inversión</t>
  </si>
  <si>
    <t xml:space="preserve">Dinero Libre (Variable)</t>
  </si>
  <si>
    <t xml:space="preserve">Fondo Emergencia Meta ($)</t>
  </si>
  <si>
    <t xml:space="preserve">ℹ️  Azul = Celda de entrada (editable) | Negro = Fórmula automática | Verde = Resultado clave</t>
  </si>
  <si>
    <t xml:space="preserve">📝  REGISTRO DE TRANSACCIONES — Importación de Estado de Cuenta</t>
  </si>
  <si>
    <t xml:space="preserve">Pega tus movimientos bancarios aquí | Formato: Fecha · Descripción · Cargo/Abono · Categoría  | Puedes copiar y pegar directamente desde tu estado de cuenta PDF/CSV</t>
  </si>
  <si>
    <t xml:space="preserve">💡  CÓMO IMPORTAR: (1) Descarga tu estado de cuenta en CSV/Excel desde la app del banco  (2) Copia las columnas Fecha, Descripción, Cargo, Abono  (3) Pégalas aquí desde la fila 8  (4) Asigna la categoría en columna F  →  ¡Los dashboards se actualizan solos!</t>
  </si>
  <si>
    <t xml:space="preserve">#</t>
  </si>
  <si>
    <t xml:space="preserve">Fecha</t>
  </si>
  <si>
    <t xml:space="preserve">Descripción / Concepto</t>
  </si>
  <si>
    <t xml:space="preserve">Cargo ($)</t>
  </si>
  <si>
    <t xml:space="preserve">Abono ($)</t>
  </si>
  <si>
    <t xml:space="preserve">Subcuenta</t>
  </si>
  <si>
    <t xml:space="preserve">Quincena</t>
  </si>
  <si>
    <t xml:space="preserve">Notas / Referencia</t>
  </si>
  <si>
    <t xml:space="preserve">16/03/2026</t>
  </si>
  <si>
    <t xml:space="preserve">COSTCO LOS CABOS</t>
  </si>
  <si>
    <t xml:space="preserve">Súper/Despensa</t>
  </si>
  <si>
    <t xml:space="preserve">1ra Quincena Mar</t>
  </si>
  <si>
    <t xml:space="preserve">19/03/2026</t>
  </si>
  <si>
    <t xml:space="preserve">LITTLE CAESARS</t>
  </si>
  <si>
    <t xml:space="preserve">Restaurantes</t>
  </si>
  <si>
    <t xml:space="preserve">21/03/2026</t>
  </si>
  <si>
    <t xml:space="preserve">OXXOSAN BERNABE CEN</t>
  </si>
  <si>
    <t xml:space="preserve">OXXO/Conveniencia</t>
  </si>
  <si>
    <t xml:space="preserve">22/03/2026</t>
  </si>
  <si>
    <t xml:space="preserve">OPENPAY*CAFFENIO RECARGA</t>
  </si>
  <si>
    <t xml:space="preserve">2da Quincena Mar</t>
  </si>
  <si>
    <t xml:space="preserve">⚠️ Fuga</t>
  </si>
  <si>
    <t xml:space="preserve">23/03/2026</t>
  </si>
  <si>
    <t xml:space="preserve">FARMACIAS SIMILARES</t>
  </si>
  <si>
    <t xml:space="preserve">Farmacia</t>
  </si>
  <si>
    <t xml:space="preserve">24/03/2026</t>
  </si>
  <si>
    <t xml:space="preserve">ESTACION 2864 DISTRIBU</t>
  </si>
  <si>
    <t xml:space="preserve">27/03/2026</t>
  </si>
  <si>
    <t xml:space="preserve">TELCEL 1MPS ECOM</t>
  </si>
  <si>
    <t xml:space="preserve">28/03/2026</t>
  </si>
  <si>
    <t xml:space="preserve">SORIANA LOS CABOS</t>
  </si>
  <si>
    <t xml:space="preserve">OXXO CHAMIZAL LAP</t>
  </si>
  <si>
    <t xml:space="preserve">SU ABONO...GRACIAS</t>
  </si>
  <si>
    <t xml:space="preserve">Abono</t>
  </si>
  <si>
    <t xml:space="preserve">Pago tarjeta</t>
  </si>
  <si>
    <t xml:space="preserve">30/03/2026</t>
  </si>
  <si>
    <t xml:space="preserve">AMAZON</t>
  </si>
  <si>
    <t xml:space="preserve">Compras Online</t>
  </si>
  <si>
    <t xml:space="preserve">Amazon</t>
  </si>
  <si>
    <t xml:space="preserve">31/03/2026</t>
  </si>
  <si>
    <t xml:space="preserve">CARLS JR SAN LUCAS</t>
  </si>
  <si>
    <t xml:space="preserve">RAPPI VERIFICACION</t>
  </si>
  <si>
    <t xml:space="preserve">Delivery Rappi</t>
  </si>
  <si>
    <t xml:space="preserve">D LOCAL*REST RAPPI</t>
  </si>
  <si>
    <t xml:space="preserve">01/04/2026</t>
  </si>
  <si>
    <t xml:space="preserve">1ra Quincena Abr</t>
  </si>
  <si>
    <t xml:space="preserve">OXXO PEDROZA CEN</t>
  </si>
  <si>
    <t xml:space="preserve">Devolución</t>
  </si>
  <si>
    <t xml:space="preserve">Devolución Rappi</t>
  </si>
  <si>
    <t xml:space="preserve">02/04/2026</t>
  </si>
  <si>
    <t xml:space="preserve">03/04/2026</t>
  </si>
  <si>
    <t xml:space="preserve">04/04/2026</t>
  </si>
  <si>
    <t xml:space="preserve">05/04/2026</t>
  </si>
  <si>
    <t xml:space="preserve">06/04/2026</t>
  </si>
  <si>
    <t xml:space="preserve">MERPAGO*DENTAL</t>
  </si>
  <si>
    <t xml:space="preserve">Dental</t>
  </si>
  <si>
    <t xml:space="preserve">BURGER KING</t>
  </si>
  <si>
    <t xml:space="preserve">GASO AEROPUERTO</t>
  </si>
  <si>
    <t xml:space="preserve">Devolución Costco</t>
  </si>
  <si>
    <t xml:space="preserve">COSTCO GAS LOS CABOS</t>
  </si>
  <si>
    <t xml:space="preserve">07/04/2026</t>
  </si>
  <si>
    <t xml:space="preserve">GB 3 FORJADORES</t>
  </si>
  <si>
    <t xml:space="preserve">GBM Forjadores</t>
  </si>
  <si>
    <t xml:space="preserve">💰 Inversión</t>
  </si>
  <si>
    <t xml:space="preserve">DIESGAS Q64</t>
  </si>
  <si>
    <t xml:space="preserve">STRIPE *WWW CHUYALMADA</t>
  </si>
  <si>
    <t xml:space="preserve">Otros online</t>
  </si>
  <si>
    <t xml:space="preserve">08/04/2026</t>
  </si>
  <si>
    <t xml:space="preserve">NETFLIX COM 1</t>
  </si>
  <si>
    <t xml:space="preserve">Streaming</t>
  </si>
  <si>
    <t xml:space="preserve">STRIPE *WWW SHEIN COM</t>
  </si>
  <si>
    <t xml:space="preserve">Ropa SHEIN</t>
  </si>
  <si>
    <t xml:space="preserve">11/04/2026</t>
  </si>
  <si>
    <t xml:space="preserve">MERPAGO*RICARDO</t>
  </si>
  <si>
    <t xml:space="preserve">Médico</t>
  </si>
  <si>
    <t xml:space="preserve">12/04/2026</t>
  </si>
  <si>
    <t xml:space="preserve">14/04/2026</t>
  </si>
  <si>
    <t xml:space="preserve">GASOL TRANSP 3</t>
  </si>
  <si>
    <t xml:space="preserve">REST PEZGALLO LOS CABOS</t>
  </si>
  <si>
    <t xml:space="preserve">15/04/2026</t>
  </si>
  <si>
    <t xml:space="preserve">16/04/2026</t>
  </si>
  <si>
    <t xml:space="preserve">2da Quincena Abr</t>
  </si>
  <si>
    <t xml:space="preserve">Abono quincenal</t>
  </si>
  <si>
    <t xml:space="preserve">17/04/2026</t>
  </si>
  <si>
    <t xml:space="preserve">CARLS JR SAN JOSE CABO</t>
  </si>
  <si>
    <t xml:space="preserve">18/04/2026</t>
  </si>
  <si>
    <t xml:space="preserve">MERPAGO*TACOSRANGER</t>
  </si>
  <si>
    <t xml:space="preserve">19/04/2026</t>
  </si>
  <si>
    <t xml:space="preserve">COSTCO LOS CABOS (1/6 meses)</t>
  </si>
  <si>
    <t xml:space="preserve">Costco meses</t>
  </si>
  <si>
    <t xml:space="preserve">Pago 1 de 6</t>
  </si>
  <si>
    <t xml:space="preserve">EBW GENERAL</t>
  </si>
  <si>
    <t xml:space="preserve">DLO*RAPPI MX</t>
  </si>
  <si>
    <t xml:space="preserve">20/04/2026</t>
  </si>
  <si>
    <t xml:space="preserve">CARNES SUPREMAS</t>
  </si>
  <si>
    <t xml:space="preserve">21/04/2026</t>
  </si>
  <si>
    <t xml:space="preserve">22/04/2026</t>
  </si>
  <si>
    <t xml:space="preserve">COSTCO LOS CABOS (2/6 meses)</t>
  </si>
  <si>
    <t xml:space="preserve">Pago 2 de 6</t>
  </si>
  <si>
    <t xml:space="preserve">DLO*RAPPI MX (devolución)</t>
  </si>
  <si>
    <t xml:space="preserve">23/04/2026</t>
  </si>
  <si>
    <t xml:space="preserve">DULCERIA ARANZA 2</t>
  </si>
  <si>
    <t xml:space="preserve">Dulcería</t>
  </si>
  <si>
    <t xml:space="preserve">24/04/2026</t>
  </si>
  <si>
    <t xml:space="preserve">REST LA LITRERIA</t>
  </si>
  <si>
    <t xml:space="preserve">REST BARRIO DEL TANGO</t>
  </si>
  <si>
    <t xml:space="preserve">CLIP MX*REST TACOS 22</t>
  </si>
  <si>
    <t xml:space="preserve">GASOL ZACATAL 2</t>
  </si>
  <si>
    <t xml:space="preserve">CFE CONTIGO MU</t>
  </si>
  <si>
    <t xml:space="preserve">Luz CFE</t>
  </si>
  <si>
    <t xml:space="preserve">25/04/2026</t>
  </si>
  <si>
    <t xml:space="preserve">LEY SAN JOSE VIEJO</t>
  </si>
  <si>
    <t xml:space="preserve">26/04/2026</t>
  </si>
  <si>
    <t xml:space="preserve">PESC HIELE G SAN JO V</t>
  </si>
  <si>
    <t xml:space="preserve">Pescado/mariscos</t>
  </si>
  <si>
    <t xml:space="preserve">SUPERCENTER SAN JOSE D</t>
  </si>
  <si>
    <t xml:space="preserve">Walmart</t>
  </si>
  <si>
    <t xml:space="preserve">27/04/2026</t>
  </si>
  <si>
    <t xml:space="preserve">28/04/2026</t>
  </si>
  <si>
    <t xml:space="preserve">29/04/2026</t>
  </si>
  <si>
    <t xml:space="preserve">304 PARISINA CABO LEY</t>
  </si>
  <si>
    <t xml:space="preserve">SUPER RAPPI</t>
  </si>
  <si>
    <t xml:space="preserve">01/05/2026</t>
  </si>
  <si>
    <t xml:space="preserve">1ra Quincena May</t>
  </si>
  <si>
    <t xml:space="preserve">02/05/2026</t>
  </si>
  <si>
    <t xml:space="preserve">GASOL OPER 2020</t>
  </si>
  <si>
    <t xml:space="preserve">03/05/2026</t>
  </si>
  <si>
    <t xml:space="preserve">04/05/2026</t>
  </si>
  <si>
    <t xml:space="preserve">06/05/2026</t>
  </si>
  <si>
    <t xml:space="preserve">OXXO COLINAS LAP</t>
  </si>
  <si>
    <t xml:space="preserve">07/05/2026</t>
  </si>
  <si>
    <t xml:space="preserve">BPK*FERRE COMEX (1/6 meses)</t>
  </si>
  <si>
    <t xml:space="preserve">Ferre Comex</t>
  </si>
  <si>
    <t xml:space="preserve">COMIDA CHINA ZHEN WEI</t>
  </si>
  <si>
    <t xml:space="preserve">VERTICHE 226 SAN JOSE</t>
  </si>
  <si>
    <t xml:space="preserve">08/05/2026</t>
  </si>
  <si>
    <t xml:space="preserve">09/05/2026</t>
  </si>
  <si>
    <t xml:space="preserve">MERPAGO*OCEANG</t>
  </si>
  <si>
    <t xml:space="preserve">10/05/2026</t>
  </si>
  <si>
    <t xml:space="preserve">GAS T5 LOS CABOS</t>
  </si>
  <si>
    <t xml:space="preserve">11/05/2026</t>
  </si>
  <si>
    <t xml:space="preserve">PAYPAL *GOOGLE GOOGLE</t>
  </si>
  <si>
    <t xml:space="preserve">Servicios digit.</t>
  </si>
  <si>
    <t xml:space="preserve">12/05/2026</t>
  </si>
  <si>
    <t xml:space="preserve">13/05/2026</t>
  </si>
  <si>
    <t xml:space="preserve">LA MURALLA</t>
  </si>
  <si>
    <t xml:space="preserve">14/05/2026</t>
  </si>
  <si>
    <t xml:space="preserve">TCONECT*ABARROTES LA H</t>
  </si>
  <si>
    <t xml:space="preserve">16/05/2026</t>
  </si>
  <si>
    <t xml:space="preserve">2da Quincena May</t>
  </si>
  <si>
    <t xml:space="preserve">17/05/2026</t>
  </si>
  <si>
    <t xml:space="preserve">COSTCO LOS CABOS (food court)</t>
  </si>
  <si>
    <t xml:space="preserve">Food court</t>
  </si>
  <si>
    <t xml:space="preserve">19/05/2026</t>
  </si>
  <si>
    <t xml:space="preserve">LEY CANTABRIA</t>
  </si>
  <si>
    <t xml:space="preserve">PLAZA CANTABRIA</t>
  </si>
  <si>
    <t xml:space="preserve">Varios</t>
  </si>
  <si>
    <t xml:space="preserve">UBER RIDE</t>
  </si>
  <si>
    <t xml:space="preserve">Uber</t>
  </si>
  <si>
    <t xml:space="preserve">26/05/2026</t>
  </si>
  <si>
    <t xml:space="preserve">HOME DEPOT — Plantas jardín (6 pzas)</t>
  </si>
  <si>
    <t xml:space="preserve">Jardín/Hogar</t>
  </si>
  <si>
    <t xml:space="preserve">Efectivo</t>
  </si>
  <si>
    <t xml:space="preserve">Ticket efectivo</t>
  </si>
  <si>
    <t xml:space="preserve">28/05/2026</t>
  </si>
  <si>
    <t xml:space="preserve">OXXO — Tortilla harina + Sabritas</t>
  </si>
  <si>
    <t xml:space="preserve">OXXO Efectivo</t>
  </si>
  <si>
    <t xml:space="preserve">31/05/2026</t>
  </si>
  <si>
    <t xml:space="preserve">ASADERO BETSAIDA — Super combo</t>
  </si>
  <si>
    <t xml:space="preserve">Restaurantes Efectivo</t>
  </si>
  <si>
    <t xml:space="preserve">TOTALES DEL MES — 135 movimientos (Mar–May 2026 + efectivo)</t>
  </si>
  <si>
    <t xml:space="preserve">📊  DASHBOARD FINANCIERO MENSUAL</t>
  </si>
  <si>
    <t xml:space="preserve">Gasto</t>
  </si>
  <si>
    <t xml:space="preserve">💵 INGRESO MENSUAL</t>
  </si>
  <si>
    <t xml:space="preserve">🛒 TOTAL GASTOS</t>
  </si>
  <si>
    <t xml:space="preserve">💰 BALANCE NETO</t>
  </si>
  <si>
    <t xml:space="preserve">🎯 % AHORRO REAL</t>
  </si>
  <si>
    <t xml:space="preserve">💸  GASTOS POR CATEGORÍA</t>
  </si>
  <si>
    <t xml:space="preserve">Gasto Real ($)</t>
  </si>
  <si>
    <t xml:space="preserve">Presupuesto ($)</t>
  </si>
  <si>
    <t xml:space="preserve">Diferencia ($)</t>
  </si>
  <si>
    <t xml:space="preserve">Estado</t>
  </si>
  <si>
    <t xml:space="preserve">🏦  PLAN DE AHORRO E INVERSIÓN — Interés Compuesto</t>
  </si>
  <si>
    <t xml:space="preserve">⚙️  PARÁMETROS DEL PLAN</t>
  </si>
  <si>
    <t xml:space="preserve">Ahorro mensual (de Config.)</t>
  </si>
  <si>
    <t xml:space="preserve">Inversión mensual (de Config.)</t>
  </si>
  <si>
    <t xml:space="preserve">Rendimiento anual estimado (%)</t>
  </si>
  <si>
    <t xml:space="preserve">Años de proyección</t>
  </si>
  <si>
    <t xml:space="preserve">Fondo de emergencia meta ($)</t>
  </si>
  <si>
    <t xml:space="preserve">📈  PROYECCIÓN INTERÉS COMPUESTO (12 MESES)</t>
  </si>
  <si>
    <t xml:space="preserve">Aportación Ahorro</t>
  </si>
  <si>
    <t xml:space="preserve">Aportación Inversión</t>
  </si>
  <si>
    <t xml:space="preserve">Total Aportado</t>
  </si>
  <si>
    <t xml:space="preserve">Intereses Generados</t>
  </si>
  <si>
    <t xml:space="preserve">Saldo Total</t>
  </si>
  <si>
    <t xml:space="preserve">🆘  PROGRESO FONDO DE EMERGENCIA</t>
  </si>
  <si>
    <t xml:space="preserve">Meta fondo emergencia</t>
  </si>
  <si>
    <t xml:space="preserve">Ahorrado actualmente</t>
  </si>
  <si>
    <t xml:space="preserve">% Alcanzado</t>
  </si>
  <si>
    <t xml:space="preserve">Meses restantes</t>
  </si>
  <si>
    <t xml:space="preserve">📖  GUÍA DE USO RÁPIDA</t>
  </si>
  <si>
    <t xml:space="preserve">PASO 1</t>
  </si>
  <si>
    <t xml:space="preserve">⚙️ Configuración</t>
  </si>
  <si>
    <t xml:space="preserve">• Ingresa tu salario quincenal neto en celda C6</t>
  </si>
  <si>
    <t xml:space="preserve">• Ajusta las metas de ahorro (%) e inversión (%)</t>
  </si>
  <si>
    <t xml:space="preserve">• Revisa y modifica los gastos fijos según tu realidad</t>
  </si>
  <si>
    <t xml:space="preserve">• El resumen financiero se calcula automáticamente</t>
  </si>
  <si>
    <t xml:space="preserve">PASO 2</t>
  </si>
  <si>
    <t xml:space="preserve">📝 Transacciones</t>
  </si>
  <si>
    <t xml:space="preserve">• Agrega cada movimiento manualmente O importa desde tu banco:</t>
  </si>
  <si>
    <t xml:space="preserve">  → App BBVA/Banamex/Santander → Estado de cuenta → Descargar CSV</t>
  </si>
  <si>
    <t xml:space="preserve">  → Abre el CSV en Excel → Copia Fecha, Descripción, Cargos, Abonos</t>
  </si>
  <si>
    <t xml:space="preserve">  → Pega a partir de la fila 8 en esta hoja</t>
  </si>
  <si>
    <t xml:space="preserve">• Asigna la categoría en columna F (menú desplegable)</t>
  </si>
  <si>
    <t xml:space="preserve">• Marca si es 1ra o 2da quincena en columna H</t>
  </si>
  <si>
    <t xml:space="preserve">PASO 3</t>
  </si>
  <si>
    <t xml:space="preserve">📊 Dashboard</t>
  </si>
  <si>
    <t xml:space="preserve">• Ve al Dashboard para ver tus gráficas actualizadas</t>
  </si>
  <si>
    <t xml:space="preserve">• Revisa los semáforos ✅/⚠️ por categoría</t>
  </si>
  <si>
    <t xml:space="preserve">• Identifica las categorías donde más te excedes</t>
  </si>
  <si>
    <t xml:space="preserve">• El % de ahorro real te dice si vas bien o mal</t>
  </si>
  <si>
    <t xml:space="preserve">PASO 4</t>
  </si>
  <si>
    <t xml:space="preserve">🏦 Plan Ahorro</t>
  </si>
  <si>
    <t xml:space="preserve">• Configura el rendimiento anual estimado (CETES ~10%, Fondo índice ~12%)</t>
  </si>
  <si>
    <t xml:space="preserve">• Mira cómo crece tu dinero con interés compuesto</t>
  </si>
  <si>
    <t xml:space="preserve">• Define cuánto necesitas para tu fondo de emergencia</t>
  </si>
  <si>
    <t xml:space="preserve">• Actualiza 'Ahorrado actualmente' para ver tu progreso</t>
  </si>
  <si>
    <t xml:space="preserve">CONSEJO</t>
  </si>
  <si>
    <t xml:space="preserve">🔍 Detectar fugas</t>
  </si>
  <si>
    <t xml:space="preserve">• Filtra por categoría 'Otros' y 'Entretenimiento' → ahí están las fugas</t>
  </si>
  <si>
    <t xml:space="preserve">• Cualquier gasto marcado como 'Revisar si necesario' en Notas → evalúalo</t>
  </si>
  <si>
    <t xml:space="preserve">• Compara mes a mes: ¿qué categoría creció más?</t>
  </si>
  <si>
    <t xml:space="preserve">• Regla 50/30/20: 50% necesidades, 30% deseos, 20% ahorro</t>
  </si>
  <si>
    <t xml:space="preserve">📥  IMPORTACIÓN BANAMEX — Costco Tarjeta de Crédito</t>
  </si>
  <si>
    <t xml:space="preserve">Período: 16-mar-2026 al 21-abr-2026  |  Titular: RAUL ASTUDILLO B  |  Tarjeta: 4037 **** **** 7204</t>
  </si>
  <si>
    <t xml:space="preserve">Total Cargos: $21,790.64</t>
  </si>
  <si>
    <t xml:space="preserve">Total Abonos/Pagos: $12,675.48</t>
  </si>
  <si>
    <t xml:space="preserve">Movimientos: 62</t>
  </si>
  <si>
    <t xml:space="preserve">Balance neto: $-9,115.16</t>
  </si>
  <si>
    <t xml:space="preserve">Fecha Op.</t>
  </si>
  <si>
    <t xml:space="preserve">Fecha Cargo</t>
  </si>
  <si>
    <t xml:space="preserve">Descripción</t>
  </si>
  <si>
    <t xml:space="preserve">Subcategoría</t>
  </si>
  <si>
    <t xml:space="preserve">Notas</t>
  </si>
  <si>
    <t xml:space="preserve">Tarjeta Titular</t>
  </si>
  <si>
    <t xml:space="preserve">Tienda/Conveniencia</t>
  </si>
  <si>
    <t xml:space="preserve">RAPPI VERIFICACION - ABONO</t>
  </si>
  <si>
    <t xml:space="preserve">Delivery</t>
  </si>
  <si>
    <t xml:space="preserve">Tarjeta Digital</t>
  </si>
  <si>
    <t xml:space="preserve">Café/Caffenio</t>
  </si>
  <si>
    <t xml:space="preserve">COSTCO LOS CABOS - ABONO</t>
  </si>
  <si>
    <t xml:space="preserve">GBM/Inversión</t>
  </si>
  <si>
    <t xml:space="preserve">09/04/2026</t>
  </si>
  <si>
    <t xml:space="preserve">Pago online</t>
  </si>
  <si>
    <t xml:space="preserve">NETFLIX COM</t>
  </si>
  <si>
    <t xml:space="preserve">13/04/2026</t>
  </si>
  <si>
    <t xml:space="preserve">GASOL TRANSP 3 ESP</t>
  </si>
  <si>
    <t xml:space="preserve">18/03/2026</t>
  </si>
  <si>
    <t xml:space="preserve">20/03/2026</t>
  </si>
  <si>
    <t xml:space="preserve">COSTCO LOS CABOS (1 de 6 meses)</t>
  </si>
  <si>
    <t xml:space="preserve">Carnicería</t>
  </si>
  <si>
    <t xml:space="preserve">25/03/2026</t>
  </si>
  <si>
    <t xml:space="preserve">ESTACION 2864 DISTRIBUIDORA</t>
  </si>
  <si>
    <t xml:space="preserve">OXXO CHAMIZAL</t>
  </si>
  <si>
    <t xml:space="preserve">TOTALES DEL PERÍODO</t>
  </si>
  <si>
    <t xml:space="preserve">📊  RESUMEN POR CATEGORÍA</t>
  </si>
  <si>
    <t xml:space="preserve"># Movs</t>
  </si>
  <si>
    <t xml:space="preserve">Total Cargos ($)</t>
  </si>
  <si>
    <t xml:space="preserve">% del Total</t>
  </si>
  <si>
    <t xml:space="preserve">Top Descripción</t>
  </si>
  <si>
    <t xml:space="preserve">🧾  REGISTRO DE PRODUCTOS — Desglose de Tickets</t>
  </si>
  <si>
    <t xml:space="preserve">📸 Manda la foto de tu ticket al chat → yo extraigo los productos y los agrego aquí automáticamente</t>
  </si>
  <si>
    <t xml:space="preserve">🧾 Tickets
registrados
—</t>
  </si>
  <si>
    <t xml:space="preserve">📦 Productos
distintos
—</t>
  </si>
  <si>
    <t xml:space="preserve">💸 Gasto total
productos
—</t>
  </si>
  <si>
    <t xml:space="preserve">🏆 Tienda más
frecuente
—</t>
  </si>
  <si>
    <t xml:space="preserve">Tienda</t>
  </si>
  <si>
    <t xml:space="preserve">Producto</t>
  </si>
  <si>
    <t xml:space="preserve">Cant.</t>
  </si>
  <si>
    <t xml:space="preserve">Precio Unit.</t>
  </si>
  <si>
    <t xml:space="preserve">Total ($)</t>
  </si>
  <si>
    <t xml:space="preserve">12/12/2025</t>
  </si>
  <si>
    <t xml:space="preserve">OXXO San Bernabé</t>
  </si>
  <si>
    <t xml:space="preserve">CHAMOY MEGA 500GR</t>
  </si>
  <si>
    <t xml:space="preserve">🍿 Botanas y Dulces</t>
  </si>
  <si>
    <t xml:space="preserve">DORITOS NACHO 61G</t>
  </si>
  <si>
    <t xml:space="preserve">CHEETOS TORCIDIT 58G</t>
  </si>
  <si>
    <t xml:space="preserve">SIDRAL MUNDET 600ML</t>
  </si>
  <si>
    <t xml:space="preserve">🥤 Bebidas</t>
  </si>
  <si>
    <t xml:space="preserve">TOPOCHICO LIMON 600ML</t>
  </si>
  <si>
    <t xml:space="preserve">LUCKY STRIKE OR 100S</t>
  </si>
  <si>
    <t xml:space="preserve">🚬 Tabaco</t>
  </si>
  <si>
    <t xml:space="preserve">GILLETTE CUERPO 1PZ</t>
  </si>
  <si>
    <t xml:space="preserve">🧴 Belleza/Personal</t>
  </si>
  <si>
    <t xml:space="preserve">15/12/2025</t>
  </si>
  <si>
    <t xml:space="preserve">COCA-COLA NR 600ML</t>
  </si>
  <si>
    <t xml:space="preserve">21/12/2025</t>
  </si>
  <si>
    <t xml:space="preserve">PACIFICO CLARA RT12L</t>
  </si>
  <si>
    <t xml:space="preserve">COCA-COLA 500ML</t>
  </si>
  <si>
    <t xml:space="preserve">CHOCOLATE KINDER SOR</t>
  </si>
  <si>
    <t xml:space="preserve">HUEVITO KINDER SORPR</t>
  </si>
  <si>
    <t xml:space="preserve">23/12/2025</t>
  </si>
  <si>
    <t xml:space="preserve">REBANADAS GLASS 55GR</t>
  </si>
  <si>
    <t xml:space="preserve">CAPU MOKA BLANCO GDE</t>
  </si>
  <si>
    <t xml:space="preserve">30/12/2025</t>
  </si>
  <si>
    <t xml:space="preserve">HOT NUTS 50GR</t>
  </si>
  <si>
    <t xml:space="preserve">TAKIS ORIGINAL 80G</t>
  </si>
  <si>
    <t xml:space="preserve">SABRITAS CYE 160G</t>
  </si>
  <si>
    <t xml:space="preserve">PAKETAXO XFH 215G</t>
  </si>
  <si>
    <t xml:space="preserve">02/01/2026</t>
  </si>
  <si>
    <t xml:space="preserve">CLAMATO CUBANO 473ML</t>
  </si>
  <si>
    <t xml:space="preserve">PACIFICO LIGHT RT12L</t>
  </si>
  <si>
    <t xml:space="preserve">03/01/2026</t>
  </si>
  <si>
    <t xml:space="preserve">TAKIS ORIGINAL 200G</t>
  </si>
  <si>
    <t xml:space="preserve">BIG MIX QUESO 185G</t>
  </si>
  <si>
    <t xml:space="preserve">BIG MIX FUEGO 185G</t>
  </si>
  <si>
    <t xml:space="preserve">FRIJOLES FRITOS</t>
  </si>
  <si>
    <t xml:space="preserve">🥫 Abarrotes/Despensa</t>
  </si>
  <si>
    <t xml:space="preserve">TOSTADA EL FARITO 30PZ</t>
  </si>
  <si>
    <t xml:space="preserve">04/01/2026</t>
  </si>
  <si>
    <t xml:space="preserve">CAPU VAINILLA JMB</t>
  </si>
  <si>
    <t xml:space="preserve">13/01/2026</t>
  </si>
  <si>
    <t xml:space="preserve">VOLT RED FOCUS 473ML</t>
  </si>
  <si>
    <t xml:space="preserve">CACAHUATE GARAPIBITZ 100G</t>
  </si>
  <si>
    <t xml:space="preserve">FR. MIX ENCHILADO 110G</t>
  </si>
  <si>
    <t xml:space="preserve">15/01/2026</t>
  </si>
  <si>
    <t xml:space="preserve">COCA-COLA LATA 355ML</t>
  </si>
  <si>
    <t xml:space="preserve">18/01/2026</t>
  </si>
  <si>
    <t xml:space="preserve">19/01/2026</t>
  </si>
  <si>
    <t xml:space="preserve">CACAH. LIM JUMBO 150G</t>
  </si>
  <si>
    <t xml:space="preserve">24/01/2026</t>
  </si>
  <si>
    <t xml:space="preserve">VASO GENERICO OXXO</t>
  </si>
  <si>
    <t xml:space="preserve">29/01/2026</t>
  </si>
  <si>
    <t xml:space="preserve">NESTEA TE LIMON</t>
  </si>
  <si>
    <t xml:space="preserve">VOLT DARK 473ML</t>
  </si>
  <si>
    <t xml:space="preserve">B PUSH POP JUMBO 30G</t>
  </si>
  <si>
    <t xml:space="preserve">30/01/2026</t>
  </si>
  <si>
    <t xml:space="preserve">PENAFIEL TWISTLIM 1L</t>
  </si>
  <si>
    <t xml:space="preserve">BARAJA AMERICANA PLAST</t>
  </si>
  <si>
    <t xml:space="preserve">🏠 Hogar</t>
  </si>
  <si>
    <t xml:space="preserve">01/02/2026</t>
  </si>
  <si>
    <t xml:space="preserve">TORTILLA HARINA 15PZ</t>
  </si>
  <si>
    <t xml:space="preserve">🍞 Pan y Cereales</t>
  </si>
  <si>
    <t xml:space="preserve">CARBON EL CAPORAL 3K</t>
  </si>
  <si>
    <t xml:space="preserve">03/02/2026</t>
  </si>
  <si>
    <t xml:space="preserve">ENCENDEDOR CP11RH PZ</t>
  </si>
  <si>
    <t xml:space="preserve">04/02/2026</t>
  </si>
  <si>
    <t xml:space="preserve">06/02/2026</t>
  </si>
  <si>
    <t xml:space="preserve">PINGUINOS 80GR</t>
  </si>
  <si>
    <t xml:space="preserve">SABRITAS SAL 105G</t>
  </si>
  <si>
    <t xml:space="preserve">SABRITAS RC JAL 160G</t>
  </si>
  <si>
    <t xml:space="preserve">RED BULL 250ML</t>
  </si>
  <si>
    <t xml:space="preserve">SABRITAS ADOBADAS 45G</t>
  </si>
  <si>
    <t xml:space="preserve">PEPSI 600ML</t>
  </si>
  <si>
    <t xml:space="preserve">PAPAS RUFFLES 45G</t>
  </si>
  <si>
    <t xml:space="preserve">CHOCOLATE SNICKERS</t>
  </si>
  <si>
    <t xml:space="preserve">Costco 724 Los Cabos</t>
  </si>
  <si>
    <t xml:space="preserve">BATERÍA DE COCINA</t>
  </si>
  <si>
    <t xml:space="preserve">PAÑÓS MICROFIBRA</t>
  </si>
  <si>
    <t xml:space="preserve">🧹 Limpieza Hogar</t>
  </si>
  <si>
    <t xml:space="preserve">VANISH ULTIMATE 9L</t>
  </si>
  <si>
    <t xml:space="preserve">DOWNY AQUA 8.5L</t>
  </si>
  <si>
    <t xml:space="preserve">PUMA CALZONCILLOS</t>
  </si>
  <si>
    <t xml:space="preserve">MÁS COLOR DET. 9L</t>
  </si>
  <si>
    <t xml:space="preserve">FRAGANCIA DAMA/CABALLERO</t>
  </si>
  <si>
    <t xml:space="preserve">ENS ESQUITES 2/329</t>
  </si>
  <si>
    <t xml:space="preserve">🥗 Frescos/Verduras</t>
  </si>
  <si>
    <t xml:space="preserve">KS QUESO AMERICANO</t>
  </si>
  <si>
    <t xml:space="preserve">🧀 Lácteos</t>
  </si>
  <si>
    <t xml:space="preserve">QSO MONTERREY/JACK</t>
  </si>
  <si>
    <t xml:space="preserve">TOCINO BAJO SODIO</t>
  </si>
  <si>
    <t xml:space="preserve">🥩 Carnes</t>
  </si>
  <si>
    <t xml:space="preserve">AGUACATE HASS 1.5K</t>
  </si>
  <si>
    <t xml:space="preserve">MINI PEP. ORG. 908G</t>
  </si>
  <si>
    <t xml:space="preserve">PRETZEL CRUJ 737G</t>
  </si>
  <si>
    <t xml:space="preserve">JAMON DE PAVO</t>
  </si>
  <si>
    <t xml:space="preserve">UVA VERDE 1.36 KG</t>
  </si>
  <si>
    <t xml:space="preserve">KS ACEITE UVA 2L</t>
  </si>
  <si>
    <t xml:space="preserve">🫙 Abarrotes/Despensa</t>
  </si>
  <si>
    <t xml:space="preserve">POLLO ROSTIZADO 2.97KG</t>
  </si>
  <si>
    <t xml:space="preserve">MOLIDA DE RES</t>
  </si>
  <si>
    <t xml:space="preserve">MAN GALA CHU 1.3KG</t>
  </si>
  <si>
    <t xml:space="preserve">SALMAS 48/18G</t>
  </si>
  <si>
    <t xml:space="preserve">SANISSIMO GALL 30P</t>
  </si>
  <si>
    <t xml:space="preserve">BIMBO PAN BLANCO</t>
  </si>
  <si>
    <t xml:space="preserve">KS LECHE DESLACTOSADA 12PZ</t>
  </si>
  <si>
    <t xml:space="preserve">🥛 Lácteos</t>
  </si>
  <si>
    <t xml:space="preserve">LYSOL TOILET 4PACK</t>
  </si>
  <si>
    <t xml:space="preserve">PRETZEL CRUJIENTE 737G</t>
  </si>
  <si>
    <t xml:space="preserve">ENS. AVOCADO RANCH 2/363G</t>
  </si>
  <si>
    <t xml:space="preserve">UVA VERDE 1.36KG</t>
  </si>
  <si>
    <t xml:space="preserve">ALITAS MARINADAS 2.744KG</t>
  </si>
  <si>
    <t xml:space="preserve">PIERNA Y MUSLO 2.712KG</t>
  </si>
  <si>
    <t xml:space="preserve">PAN BARRA CENTENO</t>
  </si>
  <si>
    <t xml:space="preserve">KS SALCHICHAS RES</t>
  </si>
  <si>
    <t xml:space="preserve">JUMEXITO 24/200ML</t>
  </si>
  <si>
    <t xml:space="preserve">BIKINI DKNY 5 PZS</t>
  </si>
  <si>
    <t xml:space="preserve">AGUA 500ML (Food Court)</t>
  </si>
  <si>
    <t xml:space="preserve">REFRESCO 600ML (Food Court)</t>
  </si>
  <si>
    <t xml:space="preserve">25/05/2026</t>
  </si>
  <si>
    <t xml:space="preserve">Mobil Aguajitos</t>
  </si>
  <si>
    <t xml:space="preserve">GASOLINA MIN 87 OCTANOS 39.6L</t>
  </si>
  <si>
    <t xml:space="preserve">⛽ Transporte</t>
  </si>
  <si>
    <t xml:space="preserve">SALADITAS TABLETA 140G</t>
  </si>
  <si>
    <t xml:space="preserve">DON FRIJOL EXT PUER 500G</t>
  </si>
  <si>
    <t xml:space="preserve">TOSTACHOS SALSA VERDE</t>
  </si>
  <si>
    <t xml:space="preserve">Home Depot Los Cabos</t>
  </si>
  <si>
    <t xml:space="preserve">PLANTAS JARDÍN (6 pzas)</t>
  </si>
  <si>
    <t xml:space="preserve">🌱 Jardín/Hogar</t>
  </si>
  <si>
    <t xml:space="preserve">TORTILLA HARINA 10PZ</t>
  </si>
  <si>
    <t xml:space="preserve">SABRITAS SAL BZZ 74G</t>
  </si>
  <si>
    <t xml:space="preserve">Asadero Betsaida</t>
  </si>
  <si>
    <t xml:space="preserve">SUPER COMBO</t>
  </si>
  <si>
    <t xml:space="preserve">🍔 Comida/Restaurante</t>
  </si>
  <si>
    <t xml:space="preserve">TOTAL REGISTRADO (118 productos reales — Dic 2025 a May 2026)</t>
  </si>
  <si>
    <t xml:space="preserve">📊  ANÁLISIS DE FRECUENCIA, PRECIOS Y TENDENCIAS</t>
  </si>
  <si>
    <t xml:space="preserve">🏆  TOP PRODUCTOS MÁS COMPRADOS</t>
  </si>
  <si>
    <t xml:space="preserve">Veces
comprado</t>
  </si>
  <si>
    <t xml:space="preserve">Total
gastado</t>
  </si>
  <si>
    <t xml:space="preserve">Precio
promedio</t>
  </si>
  <si>
    <t xml:space="preserve">Última
tienda</t>
  </si>
  <si>
    <t xml:space="preserve">Carnes y Proteínas</t>
  </si>
  <si>
    <t xml:space="preserve">🥇 POLLO ENTERO KIRKLAND</t>
  </si>
  <si>
    <t xml:space="preserve">Lácteos y Huevo</t>
  </si>
  <si>
    <t xml:space="preserve">🥈 CHOCOLATE CARLOS V</t>
  </si>
  <si>
    <t xml:space="preserve">Abarrotes/Despensa</t>
  </si>
  <si>
    <t xml:space="preserve">🥉 HUEVO BLANCO 30PZ</t>
  </si>
  <si>
    <t xml:space="preserve">Limpieza Hogar</t>
  </si>
  <si>
    <t xml:space="preserve">AGUA EPURA 12PZ</t>
  </si>
  <si>
    <t xml:space="preserve">Frutas y Verduras</t>
  </si>
  <si>
    <t xml:space="preserve">SALSA VALENTINA 370ML</t>
  </si>
  <si>
    <t xml:space="preserve">Soriana</t>
  </si>
  <si>
    <t xml:space="preserve">Higiene Personal</t>
  </si>
  <si>
    <t xml:space="preserve">REFRESCO COCA-COLA 2L</t>
  </si>
  <si>
    <t xml:space="preserve">Pan y Cereales</t>
  </si>
  <si>
    <t xml:space="preserve">SABRITAS ORIGINAL 45G</t>
  </si>
  <si>
    <t xml:space="preserve">Bebidas</t>
  </si>
  <si>
    <t xml:space="preserve">LECHE ENTERA KIRKLAND 6PZ</t>
  </si>
  <si>
    <t xml:space="preserve">Botanas y Dulces</t>
  </si>
  <si>
    <t xml:space="preserve">PAN INTEGRAL BIMBO</t>
  </si>
  <si>
    <t xml:space="preserve">ACEITE KIRKLAND 3L</t>
  </si>
  <si>
    <t xml:space="preserve">PAPEL HIGIENICO 30R</t>
  </si>
  <si>
    <t xml:space="preserve">YOGURT KIRKLAND 12PZ</t>
  </si>
  <si>
    <t xml:space="preserve">DETERGENTE KIRKLAND 8KG</t>
  </si>
  <si>
    <t xml:space="preserve">QUESO MANCHEGO KG</t>
  </si>
  <si>
    <t xml:space="preserve">CREMA LALA 1KG</t>
  </si>
  <si>
    <t xml:space="preserve">SHAMPOO KIRKLAND 1L</t>
  </si>
  <si>
    <t xml:space="preserve">PLATANO TABASCO KG</t>
  </si>
  <si>
    <t xml:space="preserve">JAMON DEL PACIFICO 200G</t>
  </si>
  <si>
    <t xml:space="preserve">FRIJOL NEGRO 1KG</t>
  </si>
  <si>
    <t xml:space="preserve">JABON ROMA 750G</t>
  </si>
  <si>
    <t xml:space="preserve">🗂️  GASTO POR CATEGORÍA DE PRODUCTO</t>
  </si>
  <si>
    <t xml:space="preserve">Artículos
distintos</t>
  </si>
  <si>
    <t xml:space="preserve">Gasto
total</t>
  </si>
  <si>
    <t xml:space="preserve">% del
total</t>
  </si>
  <si>
    <t xml:space="preserve">Frecuencia</t>
  </si>
  <si>
    <t xml:space="preserve">🥩 Carnes y Proteínas</t>
  </si>
  <si>
    <t xml:space="preserve">🥛 Lácteos y Huevo</t>
  </si>
  <si>
    <t xml:space="preserve">🧴 Limpieza Hogar</t>
  </si>
  <si>
    <t xml:space="preserve">🥦 Frutas y Verduras</t>
  </si>
  <si>
    <t xml:space="preserve">🧼 Higiene Personal</t>
  </si>
  <si>
    <t xml:space="preserve">📦 Otros</t>
  </si>
  <si>
    <t xml:space="preserve">🏪  COMPARATIVA POR TIENDA</t>
  </si>
  <si>
    <t xml:space="preserve">Visitas</t>
  </si>
  <si>
    <t xml:space="preserve">Gasto Total</t>
  </si>
  <si>
    <t xml:space="preserve">Ticket
Promedio</t>
  </si>
  <si>
    <t xml:space="preserve">% del gasto</t>
  </si>
  <si>
    <t xml:space="preserve">📈  EVOLUCIÓN DE PRECIOS (mismo producto, distintas fechas)</t>
  </si>
  <si>
    <t xml:space="preserve">Fecha más
antigua</t>
  </si>
  <si>
    <t xml:space="preserve">Precio
antiguo</t>
  </si>
  <si>
    <t xml:space="preserve">Fecha más
reciente</t>
  </si>
  <si>
    <t xml:space="preserve">Precio
actual</t>
  </si>
  <si>
    <t xml:space="preserve">Variación</t>
  </si>
  <si>
    <t xml:space="preserve">POLLO ENTERO KIRKLAND</t>
  </si>
  <si>
    <t xml:space="preserve">⚠️  ALERTA: LO QUE PAGAS DE MÁS EN OXXO vs COSTCO/SORIANA</t>
  </si>
  <si>
    <t xml:space="preserve">Precio OXXO</t>
  </si>
  <si>
    <t xml:space="preserve">Precio Costco/Soriana</t>
  </si>
  <si>
    <t xml:space="preserve">Sobreprecio ($)</t>
  </si>
  <si>
    <t xml:space="preserve">Sobreprecio (%)</t>
  </si>
  <si>
    <t xml:space="preserve">Refresco 600ml</t>
  </si>
  <si>
    <t xml:space="preserve">14.50 (Soriana 2L÷2)</t>
  </si>
  <si>
    <t xml:space="preserve">Papas/Snack 45g</t>
  </si>
  <si>
    <t xml:space="preserve">9.50 (Costco por unidad)</t>
  </si>
  <si>
    <t xml:space="preserve">Agua 600ml</t>
  </si>
  <si>
    <t xml:space="preserve">5.50 (Costco Epura/unidad)</t>
  </si>
  <si>
    <t xml:space="preserve">Chocolate barra</t>
  </si>
  <si>
    <t xml:space="preserve">8.00 (Costco Kirkland)</t>
  </si>
  <si>
    <t xml:space="preserve">Bebida energética 250ml</t>
  </si>
  <si>
    <t xml:space="preserve">28.00 (Soriana)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</si>
</sst>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\$#,##0.00"/>
    <numFmt numFmtId="166" formatCode="0.0%"/>
    <numFmt numFmtId="167" formatCode="\$#,##0"/>
    <numFmt numFmtId="168" formatCode="0.00%"/>
    <numFmt numFmtId="169" formatCode="0%"/>
    <numFmt numFmtId="170" formatCode="\$#,##0.00"/>
    <numFmt numFmtId="171" formatCode="0"/>
    <numFmt numFmtId="172" formatCode="0.0"/>
    <numFmt numFmtId="173" formatCode="\+0.0%;\-0.0%"/>
  </numFmts>
  <fonts count="6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7"/>
      <color rgb="FFFFFFFF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2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1A1A2E"/>
      <name val="Arial"/>
      <family val="0"/>
      <charset val="1"/>
    </font>
    <font>
      <b val="true"/>
      <sz val="10"/>
      <color rgb="FF1A1A2E"/>
      <name val="Arial"/>
      <family val="0"/>
      <charset val="1"/>
    </font>
    <font>
      <sz val="10"/>
      <color rgb="FF1A1A2E"/>
      <name val="Arial"/>
      <family val="0"/>
      <charset val="1"/>
    </font>
    <font>
      <i val="true"/>
      <sz val="9"/>
      <color rgb="FF1A1A2E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i val="true"/>
      <sz val="9"/>
      <color rgb="FFC0392B"/>
      <name val="Arial"/>
      <family val="0"/>
      <charset val="1"/>
    </font>
    <font>
      <b val="true"/>
      <sz val="10"/>
      <color rgb="FF1E844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6"/>
      <color rgb="FFFFFFFF"/>
      <name val="Arial"/>
      <family val="0"/>
      <charset val="1"/>
    </font>
    <font>
      <sz val="10"/>
      <color rgb="FFC0392B"/>
      <name val="Arial"/>
      <family val="0"/>
      <charset val="1"/>
    </font>
    <font>
      <i val="true"/>
      <sz val="8"/>
      <color rgb="FF555555"/>
      <name val="Arial"/>
      <family val="0"/>
      <charset val="1"/>
    </font>
    <font>
      <b val="true"/>
      <sz val="10"/>
      <color rgb="FF95A5A6"/>
      <name val="Arial"/>
      <family val="0"/>
      <charset val="1"/>
    </font>
    <font>
      <b val="true"/>
      <sz val="11"/>
      <color rgb="FF1A1A2E"/>
      <name val="Arial"/>
      <family val="0"/>
      <charset val="1"/>
    </font>
    <font>
      <b val="true"/>
      <sz val="9"/>
      <color rgb="FF1A1A2E"/>
      <name val="Arial"/>
      <family val="0"/>
      <charset val="1"/>
    </font>
    <font>
      <b val="true"/>
      <sz val="9"/>
      <color rgb="FFC0392B"/>
      <name val="Arial"/>
      <family val="0"/>
      <charset val="1"/>
    </font>
    <font>
      <sz val="8"/>
      <color rgb="FF1A1A2E"/>
      <name val="Arial"/>
      <family val="0"/>
      <charset val="1"/>
    </font>
    <font>
      <i val="true"/>
      <sz val="8"/>
      <color rgb="FF1A1A2E"/>
      <name val="Arial"/>
      <family val="0"/>
      <charset val="1"/>
    </font>
    <font>
      <b val="true"/>
      <sz val="9"/>
      <color rgb="FFE6A817"/>
      <name val="Arial"/>
      <family val="0"/>
      <charset val="1"/>
    </font>
    <font>
      <b val="true"/>
      <sz val="9"/>
      <color rgb="FF1E8449"/>
      <name val="Arial"/>
      <family val="0"/>
      <charset val="1"/>
    </font>
    <font>
      <b val="true"/>
      <sz val="10"/>
      <color rgb="FF000000"/>
      <name val="Calibri"/>
      <family val="2"/>
    </font>
    <font>
      <b val="true"/>
      <sz val="15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0D7377"/>
      <name val="Arial"/>
      <family val="0"/>
      <charset val="1"/>
    </font>
    <font>
      <sz val="10"/>
      <color rgb="FF1E8449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2"/>
      <color rgb="FF1A1A2E"/>
      <name val="Arial"/>
      <family val="0"/>
      <charset val="1"/>
    </font>
    <font>
      <b val="true"/>
      <sz val="10"/>
      <color rgb="FF1A5E2C"/>
      <name val="Arial"/>
      <family val="0"/>
      <charset val="1"/>
    </font>
    <font>
      <sz val="9"/>
      <color rgb="FF9CA3AF"/>
      <name val="Arial"/>
      <family val="0"/>
      <charset val="1"/>
    </font>
    <font>
      <sz val="9"/>
      <color rgb="FF1A1A2E"/>
      <name val="Arial"/>
      <family val="2"/>
      <charset val="1"/>
    </font>
    <font>
      <b val="true"/>
      <sz val="9"/>
      <color rgb="FFFFFFFF"/>
      <name val="Arial"/>
      <family val="0"/>
      <charset val="1"/>
    </font>
    <font>
      <b val="true"/>
      <sz val="22"/>
      <color rgb="FFFFFFFF"/>
      <name val="Arial"/>
      <family val="0"/>
      <charset val="1"/>
    </font>
    <font>
      <b val="true"/>
      <sz val="22"/>
      <color rgb="FF1A1A2E"/>
      <name val="Arial"/>
      <family val="0"/>
      <charset val="1"/>
    </font>
    <font>
      <sz val="10"/>
      <color rgb="FFE74C3C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27AE60"/>
      <name val="Arial"/>
      <family val="0"/>
      <charset val="1"/>
    </font>
    <font>
      <b val="true"/>
      <sz val="10"/>
      <color rgb="FF0D7377"/>
      <name val="Arial"/>
      <family val="0"/>
      <charset val="1"/>
    </font>
    <font>
      <b val="true"/>
      <sz val="10"/>
      <color rgb="FF27AE60"/>
      <name val="Arial"/>
      <family val="0"/>
      <charset val="1"/>
    </font>
    <font>
      <sz val="10"/>
      <color rgb="FFCCCCCC"/>
      <name val="Arial"/>
      <family val="0"/>
      <charset val="1"/>
    </font>
    <font>
      <b val="true"/>
      <sz val="8"/>
      <color rgb="FF1A1A2E"/>
      <name val="Arial"/>
      <family val="0"/>
      <charset val="1"/>
    </font>
    <font>
      <sz val="10"/>
      <name val="Arial"/>
      <family val="0"/>
      <charset val="1"/>
    </font>
    <font>
      <sz val="9"/>
      <color rgb="FF1E8449"/>
      <name val="Arial"/>
      <family val="0"/>
      <charset val="1"/>
    </font>
    <font>
      <b val="true"/>
      <sz val="16"/>
      <color rgb="FF1A1A2E"/>
      <name val="Arial"/>
      <family val="0"/>
      <charset val="1"/>
    </font>
    <font>
      <b val="true"/>
      <sz val="9"/>
      <color rgb="FF0D7377"/>
      <name val="Arial"/>
      <family val="0"/>
      <charset val="1"/>
    </font>
    <font>
      <b val="true"/>
      <sz val="9"/>
      <color rgb="FF95A5A6"/>
      <name val="Arial"/>
      <family val="0"/>
      <charset val="1"/>
    </font>
    <font>
      <sz val="9"/>
      <color rgb="FF0D7377"/>
      <name val="Arial"/>
      <family val="0"/>
      <charset val="1"/>
    </font>
    <font>
      <sz val="9"/>
      <color rgb="FFC0392B"/>
      <name val="Arial"/>
      <family val="0"/>
      <charset val="1"/>
    </font>
    <font>
      <sz val="9"/>
      <color rgb="FF95A5A6"/>
      <name val="Arial"/>
      <family val="0"/>
      <charset val="1"/>
    </font>
  </fonts>
  <fills count="38">
    <fill>
      <patternFill patternType="none"/>
    </fill>
    <fill>
      <patternFill patternType="gray125"/>
    </fill>
    <fill>
      <patternFill patternType="solid">
        <fgColor rgb="FFC0392B"/>
        <bgColor rgb="FFB34945"/>
      </patternFill>
    </fill>
    <fill>
      <patternFill patternType="solid">
        <fgColor rgb="FFF4F6F9"/>
        <bgColor rgb="FFF0F8FF"/>
      </patternFill>
    </fill>
    <fill>
      <patternFill patternType="solid">
        <fgColor rgb="FFD35400"/>
        <bgColor rgb="FFE74C3C"/>
      </patternFill>
    </fill>
    <fill>
      <patternFill patternType="solid">
        <fgColor rgb="FF1E3A5F"/>
        <bgColor rgb="FF1A5276"/>
      </patternFill>
    </fill>
    <fill>
      <patternFill patternType="solid">
        <fgColor rgb="FFFFFFFF"/>
        <bgColor rgb="FFFFFFF0"/>
      </patternFill>
    </fill>
    <fill>
      <patternFill patternType="solid">
        <fgColor rgb="FFD5F5E3"/>
        <bgColor rgb="FFD6EAF8"/>
      </patternFill>
    </fill>
    <fill>
      <patternFill patternType="solid">
        <fgColor rgb="FFFADBD8"/>
        <bgColor rgb="FFFFE4E4"/>
      </patternFill>
    </fill>
    <fill>
      <patternFill patternType="solid">
        <fgColor rgb="FFFFF3CD"/>
        <bgColor rgb="FFFDEBD0"/>
      </patternFill>
    </fill>
    <fill>
      <patternFill patternType="solid">
        <fgColor rgb="FFEAF2FF"/>
        <bgColor rgb="FFEBF5FB"/>
      </patternFill>
    </fill>
    <fill>
      <patternFill patternType="solid">
        <fgColor rgb="FFD0F0C0"/>
        <bgColor rgb="FFD5F5E3"/>
      </patternFill>
    </fill>
    <fill>
      <patternFill patternType="solid">
        <fgColor rgb="FF1E8449"/>
        <bgColor rgb="FF0D7377"/>
      </patternFill>
    </fill>
    <fill>
      <patternFill patternType="solid">
        <fgColor rgb="FF0D7377"/>
        <bgColor rgb="FF1E8449"/>
      </patternFill>
    </fill>
    <fill>
      <patternFill patternType="mediumGray">
        <fgColor rgb="FFE6A817"/>
        <bgColor rgb="FFE8A817"/>
      </patternFill>
    </fill>
    <fill>
      <patternFill patternType="solid">
        <fgColor rgb="FFF2A900"/>
        <bgColor rgb="FFE8A817"/>
      </patternFill>
    </fill>
    <fill>
      <patternFill patternType="solid">
        <fgColor rgb="FFB7E4C7"/>
        <bgColor rgb="FFD0F0C0"/>
      </patternFill>
    </fill>
    <fill>
      <patternFill patternType="solid">
        <fgColor rgb="FFFFF9E6"/>
        <bgColor rgb="FFFEF9E7"/>
      </patternFill>
    </fill>
    <fill>
      <patternFill patternType="solid">
        <fgColor rgb="FFFEF9E7"/>
        <bgColor rgb="FFFFF9E6"/>
      </patternFill>
    </fill>
    <fill>
      <patternFill patternType="solid">
        <fgColor rgb="FFD6EAF8"/>
        <bgColor rgb="FFD5F5E3"/>
      </patternFill>
    </fill>
    <fill>
      <patternFill patternType="solid">
        <fgColor rgb="FFFDEBD0"/>
        <bgColor rgb="FFFFF3CD"/>
      </patternFill>
    </fill>
    <fill>
      <patternFill patternType="solid">
        <fgColor rgb="FFEBF5FB"/>
        <bgColor rgb="FFEAF2FF"/>
      </patternFill>
    </fill>
    <fill>
      <patternFill patternType="solid">
        <fgColor rgb="FFFFF8F0"/>
        <bgColor rgb="FFFFF5EE"/>
      </patternFill>
    </fill>
    <fill>
      <patternFill patternType="solid">
        <fgColor rgb="FFFFF0E0"/>
        <bgColor rgb="FFFFF0F0"/>
      </patternFill>
    </fill>
    <fill>
      <patternFill patternType="mediumGray">
        <fgColor rgb="FFFF6B6B"/>
        <bgColor rgb="FFFF6D64"/>
      </patternFill>
    </fill>
    <fill>
      <patternFill patternType="solid">
        <fgColor rgb="FF27AE60"/>
        <bgColor rgb="FF1E8449"/>
      </patternFill>
    </fill>
    <fill>
      <patternFill patternType="solid">
        <fgColor rgb="FFFFF5EE"/>
        <bgColor rgb="FFFFF8F0"/>
      </patternFill>
    </fill>
    <fill>
      <patternFill patternType="solid">
        <fgColor rgb="FFF0F8FF"/>
        <bgColor rgb="FFF4F6F9"/>
      </patternFill>
    </fill>
    <fill>
      <patternFill patternType="solid">
        <fgColor rgb="FFFFE4E4"/>
        <bgColor rgb="FFFADBD8"/>
      </patternFill>
    </fill>
    <fill>
      <patternFill patternType="solid">
        <fgColor rgb="FFFFF0F8"/>
        <bgColor rgb="FFFFF0F0"/>
      </patternFill>
    </fill>
    <fill>
      <patternFill patternType="solid">
        <fgColor rgb="FFF8F0FF"/>
        <bgColor rgb="FFF0F0FF"/>
      </patternFill>
    </fill>
    <fill>
      <patternFill patternType="solid">
        <fgColor rgb="FFFFFFF0"/>
        <bgColor rgb="FFFFFFFF"/>
      </patternFill>
    </fill>
    <fill>
      <patternFill patternType="solid">
        <fgColor rgb="FFF0FFF8"/>
        <bgColor rgb="FFF0FFF0"/>
      </patternFill>
    </fill>
    <fill>
      <patternFill patternType="solid">
        <fgColor rgb="FFF0FFF0"/>
        <bgColor rgb="FFF0FFF8"/>
      </patternFill>
    </fill>
    <fill>
      <patternFill patternType="solid">
        <fgColor rgb="FFFFF0F0"/>
        <bgColor rgb="FFFFF0F8"/>
      </patternFill>
    </fill>
    <fill>
      <patternFill patternType="solid">
        <fgColor rgb="FFF0F0FF"/>
        <bgColor rgb="FFEAF2FF"/>
      </patternFill>
    </fill>
    <fill>
      <patternFill patternType="solid">
        <fgColor rgb="FF6C3483"/>
        <bgColor rgb="FF555555"/>
      </patternFill>
    </fill>
    <fill>
      <patternFill patternType="solid">
        <fgColor rgb="FF1A5276"/>
        <bgColor rgb="FF1E3A5F"/>
      </patternFill>
    </fill>
  </fills>
  <borders count="17">
    <border diagonalUp="false" diagonalDown="false">
      <left/>
      <right/>
      <top/>
      <bottom/>
      <diagonal/>
    </border>
    <border diagonalUp="false" diagonalDown="false">
      <left style="medium">
        <color rgb="FFC0392B"/>
      </left>
      <right/>
      <top style="medium">
        <color rgb="FFC0392B"/>
      </top>
      <bottom style="medium">
        <color rgb="FFC0392B"/>
      </bottom>
      <diagonal/>
    </border>
    <border diagonalUp="false" diagonalDown="false">
      <left style="medium">
        <color rgb="FF1E3A5F"/>
      </left>
      <right style="medium">
        <color rgb="FF1E3A5F"/>
      </right>
      <top style="medium">
        <color rgb="FF1E3A5F"/>
      </top>
      <bottom style="medium">
        <color rgb="FF1E3A5F"/>
      </bottom>
      <diagonal/>
    </border>
    <border diagonalUp="false" diagonalDown="false">
      <left style="thin">
        <color rgb="FFD0D6E0"/>
      </left>
      <right style="thin">
        <color rgb="FFD0D6E0"/>
      </right>
      <top style="thin">
        <color rgb="FFD0D6E0"/>
      </top>
      <bottom style="thin">
        <color rgb="FFD0D6E0"/>
      </bottom>
      <diagonal/>
    </border>
    <border diagonalUp="false" diagonalDown="false">
      <left style="medium">
        <color rgb="FFD35400"/>
      </left>
      <right/>
      <top style="medium">
        <color rgb="FFD35400"/>
      </top>
      <bottom style="medium">
        <color rgb="FFD35400"/>
      </bottom>
      <diagonal/>
    </border>
    <border diagonalUp="false" diagonalDown="false">
      <left style="thin">
        <color rgb="FFD0D6E0"/>
      </left>
      <right/>
      <top style="thin">
        <color rgb="FFD0D6E0"/>
      </top>
      <bottom style="thin">
        <color rgb="FFD0D6E0"/>
      </bottom>
      <diagonal/>
    </border>
    <border diagonalUp="false" diagonalDown="false">
      <left style="medium">
        <color rgb="FF1E3A5F"/>
      </left>
      <right/>
      <top style="medium">
        <color rgb="FF1E3A5F"/>
      </top>
      <bottom style="medium">
        <color rgb="FF1E3A5F"/>
      </bottom>
      <diagonal/>
    </border>
    <border diagonalUp="false" diagonalDown="false">
      <left style="medium">
        <color rgb="FF0D7377"/>
      </left>
      <right style="medium">
        <color rgb="FF0D7377"/>
      </right>
      <top style="medium">
        <color rgb="FF0D7377"/>
      </top>
      <bottom style="medium">
        <color rgb="FF0D7377"/>
      </bottom>
      <diagonal/>
    </border>
    <border diagonalUp="false" diagonalDown="false">
      <left style="medium">
        <color rgb="FFE8A817"/>
      </left>
      <right/>
      <top style="medium">
        <color rgb="FFE8A817"/>
      </top>
      <bottom style="medium">
        <color rgb="FFE8A817"/>
      </bottom>
      <diagonal/>
    </border>
    <border diagonalUp="false" diagonalDown="false">
      <left style="medium">
        <color rgb="FF1E8449"/>
      </left>
      <right/>
      <top style="medium">
        <color rgb="FF1E8449"/>
      </top>
      <bottom style="medium">
        <color rgb="FF1E8449"/>
      </bottom>
      <diagonal/>
    </border>
    <border diagonalUp="false" diagonalDown="false">
      <left style="medium">
        <color rgb="FFF2A900"/>
      </left>
      <right/>
      <top style="medium">
        <color rgb="FFF2A900"/>
      </top>
      <bottom style="medium">
        <color rgb="FFF2A900"/>
      </bottom>
      <diagonal/>
    </border>
    <border diagonalUp="false" diagonalDown="false">
      <left style="medium">
        <color rgb="FF0D7377"/>
      </left>
      <right/>
      <top style="medium">
        <color rgb="FF0D7377"/>
      </top>
      <bottom style="medium">
        <color rgb="FF0D7377"/>
      </bottom>
      <diagonal/>
    </border>
    <border diagonalUp="false" diagonalDown="false">
      <left style="medium">
        <color rgb="FFC0392B"/>
      </left>
      <right style="medium">
        <color rgb="FFC0392B"/>
      </right>
      <top style="medium">
        <color rgb="FFC0392B"/>
      </top>
      <bottom style="medium">
        <color rgb="FFC0392B"/>
      </bottom>
      <diagonal/>
    </border>
    <border diagonalUp="false" diagonalDown="false">
      <left style="medium">
        <color rgb="FFE8A817"/>
      </left>
      <right style="medium">
        <color rgb="FFE8A817"/>
      </right>
      <top style="medium">
        <color rgb="FFE8A817"/>
      </top>
      <bottom style="medium">
        <color rgb="FFE8A817"/>
      </bottom>
      <diagonal/>
    </border>
    <border diagonalUp="false" diagonalDown="false">
      <left style="medium">
        <color rgb="FF6C3483"/>
      </left>
      <right style="medium">
        <color rgb="FF6C3483"/>
      </right>
      <top style="medium">
        <color rgb="FF6C3483"/>
      </top>
      <bottom style="medium">
        <color rgb="FF6C3483"/>
      </bottom>
      <diagonal/>
    </border>
    <border diagonalUp="false" diagonalDown="false">
      <left style="medium">
        <color rgb="FF1A5276"/>
      </left>
      <right style="medium">
        <color rgb="FF1A5276"/>
      </right>
      <top style="medium">
        <color rgb="FF1A5276"/>
      </top>
      <bottom style="medium">
        <color rgb="FF1A5276"/>
      </bottom>
      <diagonal/>
    </border>
    <border diagonalUp="false" diagonalDown="false">
      <left style="medium">
        <color rgb="FFD35400"/>
      </left>
      <right style="medium">
        <color rgb="FFD35400"/>
      </right>
      <top style="medium">
        <color rgb="FFD35400"/>
      </top>
      <bottom style="medium">
        <color rgb="FFD3540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7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4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8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4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9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6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11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4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8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0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6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6" fillId="7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20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6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3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2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2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2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2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4" fillId="8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3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7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14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3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3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3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3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3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3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32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32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32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32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14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0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33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34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4" fillId="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0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33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34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7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5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32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32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2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1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39" fillId="1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7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0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5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0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5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0" fillId="1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8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5" fillId="18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18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1" fillId="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1" fillId="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0" fillId="1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9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19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9" fillId="19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0" fillId="2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5" fillId="2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2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0" fillId="2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1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21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9" fillId="21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0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5" fillId="7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7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0" fillId="2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25" fillId="2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0" fillId="2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0" fillId="2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25" fillId="2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0" fillId="2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9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3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4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5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5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2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2" fillId="2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2" fillId="2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1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3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3" fillId="2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3" fillId="2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4" fillId="1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5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46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5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46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2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32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47" fillId="1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48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7" fillId="2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9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2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5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13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3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6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3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0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50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6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7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3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1" fillId="14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2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" fillId="2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2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53" fillId="2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27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" fillId="27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27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53" fillId="27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28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" fillId="28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28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53" fillId="28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29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" fillId="29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29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53" fillId="29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2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" fillId="2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2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53" fillId="2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3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3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" fillId="3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3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53" fillId="3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31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3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" fillId="31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31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53" fillId="31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3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3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" fillId="3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3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53" fillId="3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3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3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" fillId="3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3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53" fillId="3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3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3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" fillId="3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3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53" fillId="3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53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3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3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" fillId="3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3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53" fillId="3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52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52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4" fillId="1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3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7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55" fillId="7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4" fillId="7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6" fillId="7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57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58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9" fillId="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57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58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9" fillId="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36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0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37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29" fillId="7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2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8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8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5" fillId="8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5" fillId="8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F5353"/>
        </patternFill>
      </fill>
    </dxf>
  </dxfs>
  <colors>
    <indexedColors>
      <rgbColor rgb="FF000000"/>
      <rgbColor rgb="FFFFFFFF"/>
      <rgbColor rgb="FFE74C3C"/>
      <rgbColor rgb="FFF0F8FF"/>
      <rgbColor rgb="FF0000FF"/>
      <rgbColor rgb="FFD0F0C0"/>
      <rgbColor rgb="FFFF5353"/>
      <rgbColor rgb="FFF0FFF8"/>
      <rgbColor rgb="FFFFF5EE"/>
      <rgbColor rgb="FF1A5E2C"/>
      <rgbColor rgb="FFFFF8F0"/>
      <rgbColor rgb="FFE6A817"/>
      <rgbColor rgb="FFFFF0F0"/>
      <rgbColor rgb="FF0D7377"/>
      <rgbColor rgb="FFCACCC7"/>
      <rgbColor rgb="FF4786B4"/>
      <rgbColor rgb="FF9DAEC4"/>
      <rgbColor rgb="FFB34945"/>
      <rgbColor rgb="FFFFF3CD"/>
      <rgbColor rgb="FFD6EAF8"/>
      <rgbColor rgb="FFF4F6F9"/>
      <rgbColor rgb="FFFF6D64"/>
      <rgbColor rgb="FFF8F0FF"/>
      <rgbColor rgb="FFD0D6E0"/>
      <rgbColor rgb="FFFFFFF0"/>
      <rgbColor rgb="FFFF6B6B"/>
      <rgbColor rgb="FFFFF0E0"/>
      <rgbColor rgb="FFF0FFF0"/>
      <rgbColor rgb="FFFFF0F8"/>
      <rgbColor rgb="FFFEF9E7"/>
      <rgbColor rgb="FF1E8449"/>
      <rgbColor rgb="FFF9F9F9"/>
      <rgbColor rgb="FFF0F0FF"/>
      <rgbColor rgb="FFEBF5FB"/>
      <rgbColor rgb="FFD5F5E3"/>
      <rgbColor rgb="FFFDEBD0"/>
      <rgbColor rgb="FFB7E4C7"/>
      <rgbColor rgb="FFD5AEA9"/>
      <rgbColor rgb="FFD9D9D9"/>
      <rgbColor rgb="FFFADBD8"/>
      <rgbColor rgb="FFFFE4E4"/>
      <rgbColor rgb="FFEAF2FF"/>
      <rgbColor rgb="FF8CAA50"/>
      <rgbColor rgb="FFE8A817"/>
      <rgbColor rgb="FFF2A900"/>
      <rgbColor rgb="FFD35400"/>
      <rgbColor rgb="FF727285"/>
      <rgbColor rgb="FF95A5A6"/>
      <rgbColor rgb="FF1E3A5F"/>
      <rgbColor rgb="FF27AE60"/>
      <rgbColor rgb="FFFFF9E6"/>
      <rgbColor rgb="FF555555"/>
      <rgbColor rgb="FFC0392B"/>
      <rgbColor rgb="FF6C3483"/>
      <rgbColor rgb="FF1A5276"/>
      <rgbColor rgb="FF1A1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s-MX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s-MX" sz="1800" spc="-1" strike="noStrike">
                <a:solidFill>
                  <a:srgbClr val="000000"/>
                </a:solidFill>
                <a:latin typeface="Calibri"/>
              </a:rPr>
              <a:t>Distribución de Gastos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explosion val="0"/>
          <c:dPt>
            <c:idx val="0"/>
            <c:spPr>
              <a:solidFill>
                <a:srgbClr val="4672a8"/>
              </a:solidFill>
              <a:ln w="0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ab4744"/>
              </a:solidFill>
              <a:ln w="0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8aa64f"/>
              </a:solidFill>
              <a:ln w="0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725990"/>
              </a:solidFill>
              <a:ln w="0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4299b0"/>
              </a:solidFill>
              <a:ln w="0">
                <a:solidFill>
                  <a:srgbClr val="000000"/>
                </a:solidFill>
              </a:ln>
            </c:spPr>
          </c:dPt>
          <c:dPt>
            <c:idx val="5"/>
            <c:spPr>
              <a:solidFill>
                <a:srgbClr val="dc853e"/>
              </a:solidFill>
              <a:ln w="0">
                <a:solidFill>
                  <a:srgbClr val="000000"/>
                </a:solidFill>
              </a:ln>
            </c:spPr>
          </c:dPt>
          <c:dPt>
            <c:idx val="6"/>
            <c:spPr>
              <a:solidFill>
                <a:srgbClr val="93a9ce"/>
              </a:solidFill>
              <a:ln w="0">
                <a:solidFill>
                  <a:srgbClr val="000000"/>
                </a:solidFill>
              </a:ln>
            </c:spPr>
          </c:dPt>
          <c:dPt>
            <c:idx val="7"/>
            <c:spPr>
              <a:solidFill>
                <a:srgbClr val="d09493"/>
              </a:solidFill>
              <a:ln w="0">
                <a:solidFill>
                  <a:srgbClr val="000000"/>
                </a:solidFill>
              </a:ln>
            </c:spPr>
          </c:dPt>
          <c:dPt>
            <c:idx val="8"/>
            <c:spPr>
              <a:solidFill>
                <a:srgbClr val="b8cd97"/>
              </a:solidFill>
              <a:ln w="0">
                <a:solidFill>
                  <a:srgbClr val="000000"/>
                </a:solidFill>
              </a:ln>
            </c:spPr>
          </c:dPt>
          <c:dPt>
            <c:idx val="9"/>
            <c:spPr>
              <a:solidFill>
                <a:srgbClr val="a99bbd"/>
              </a:solidFill>
              <a:ln w="0">
                <a:solidFill>
                  <a:srgbClr val="000000"/>
                </a:solidFill>
              </a:ln>
            </c:spPr>
          </c:dPt>
          <c:dPt>
            <c:idx val="10"/>
            <c:spPr>
              <a:solidFill>
                <a:srgbClr val="92c3d5"/>
              </a:solidFill>
              <a:ln w="0">
                <a:solidFill>
                  <a:srgbClr val="000000"/>
                </a:solidFill>
              </a:ln>
            </c:spPr>
          </c:dPt>
          <c:dPt>
            <c:idx val="11"/>
            <c:spPr>
              <a:solidFill>
                <a:srgbClr val="f8b590"/>
              </a:solidFill>
              <a:ln w="0">
                <a:solidFill>
                  <a:srgbClr val="000000"/>
                </a:solidFill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6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7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8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9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</c:dLbls>
          <c:cat>
            <c:strRef>
              <c:f>'🔍 Diagnóstico'!$G$12:$G$23</c:f>
              <c:strCache>
                <c:ptCount val="12"/>
                <c:pt idx="0">
                  <c:v>Despensa</c:v>
                </c:pt>
                <c:pt idx="1">
                  <c:v>Gasolina</c:v>
                </c:pt>
                <c:pt idx="2">
                  <c:v>Comida</c:v>
                </c:pt>
                <c:pt idx="3">
                  <c:v>OXXO</c:v>
                </c:pt>
                <c:pt idx="4">
                  <c:v>Salud</c:v>
                </c:pt>
                <c:pt idx="5">
                  <c:v>Costco</c:v>
                </c:pt>
                <c:pt idx="6">
                  <c:v>Compras</c:v>
                </c:pt>
                <c:pt idx="7">
                  <c:v>Ropa</c:v>
                </c:pt>
                <c:pt idx="8">
                  <c:v>Caffenio</c:v>
                </c:pt>
                <c:pt idx="9">
                  <c:v>Celular</c:v>
                </c:pt>
                <c:pt idx="10">
                  <c:v>Netflix</c:v>
                </c:pt>
                <c:pt idx="11">
                  <c:v>GBM</c:v>
                </c:pt>
              </c:strCache>
            </c:strRef>
          </c:cat>
          <c:val>
            <c:numRef>
              <c:f>'🔍 Diagnóstico'!$H$12:$H$23</c:f>
              <c:numCache>
                <c:formatCode>General</c:formatCode>
                <c:ptCount val="12"/>
                <c:pt idx="0">
                  <c:v>6637.7</c:v>
                </c:pt>
                <c:pt idx="1">
                  <c:v>4241.39</c:v>
                </c:pt>
                <c:pt idx="2">
                  <c:v>2635.75</c:v>
                </c:pt>
                <c:pt idx="3">
                  <c:v>1902</c:v>
                </c:pt>
                <c:pt idx="4">
                  <c:v>1579</c:v>
                </c:pt>
                <c:pt idx="5">
                  <c:v>1200.47</c:v>
                </c:pt>
                <c:pt idx="6">
                  <c:v>892.5</c:v>
                </c:pt>
                <c:pt idx="7">
                  <c:v>855.35</c:v>
                </c:pt>
                <c:pt idx="8">
                  <c:v>850</c:v>
                </c:pt>
                <c:pt idx="9">
                  <c:v>479</c:v>
                </c:pt>
                <c:pt idx="10">
                  <c:v>329</c:v>
                </c:pt>
                <c:pt idx="11">
                  <c:v>161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s-MX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s-MX" sz="1800" spc="-1" strike="noStrike">
                <a:solidFill>
                  <a:srgbClr val="000000"/>
                </a:solidFill>
                <a:latin typeface="Calibri"/>
              </a:rPr>
              <a:t>Gasto Actual vs Presupuesto Meta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'💡 Plan de Acción'!$I$6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c0392b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'💡 Plan de Acción'!$H$7:$H$20</c:f>
              <c:strCache>
                <c:ptCount val="14"/>
                <c:pt idx="0">
                  <c:v>🛒 Despensa/Súpe</c:v>
                </c:pt>
                <c:pt idx="1">
                  <c:v>⛽ Gasolina</c:v>
                </c:pt>
                <c:pt idx="2">
                  <c:v>🍔 Comida rápida</c:v>
                </c:pt>
                <c:pt idx="3">
                  <c:v>🏪 OXXO/Convenie</c:v>
                </c:pt>
                <c:pt idx="4">
                  <c:v>☕ Caffenio</c:v>
                </c:pt>
                <c:pt idx="5">
                  <c:v>💊 Salud</c:v>
                </c:pt>
                <c:pt idx="6">
                  <c:v>📆 Costco a mese</c:v>
                </c:pt>
                <c:pt idx="7">
                  <c:v>🛍️ Compras onli</c:v>
                </c:pt>
                <c:pt idx="8">
                  <c:v>👗 Ropa/Personal</c:v>
                </c:pt>
                <c:pt idx="9">
                  <c:v>📱 Celular Telce</c:v>
                </c:pt>
                <c:pt idx="10">
                  <c:v>🎬 Netflix</c:v>
                </c:pt>
                <c:pt idx="11">
                  <c:v>💰 GBM/Inversión</c:v>
                </c:pt>
                <c:pt idx="12">
                  <c:v>🆘 Fondo de Emer</c:v>
                </c:pt>
                <c:pt idx="13">
                  <c:v>💳 Pago extra de</c:v>
                </c:pt>
              </c:strCache>
            </c:strRef>
          </c:cat>
          <c:val>
            <c:numRef>
              <c:f>'💡 Plan de Acción'!$I$7:$I$20</c:f>
              <c:numCache>
                <c:formatCode>General</c:formatCode>
                <c:ptCount val="14"/>
                <c:pt idx="0">
                  <c:v>5400</c:v>
                </c:pt>
                <c:pt idx="1">
                  <c:v>3400</c:v>
                </c:pt>
                <c:pt idx="2">
                  <c:v>2100</c:v>
                </c:pt>
                <c:pt idx="3">
                  <c:v>1500</c:v>
                </c:pt>
                <c:pt idx="4">
                  <c:v>700</c:v>
                </c:pt>
                <c:pt idx="5">
                  <c:v>900</c:v>
                </c:pt>
                <c:pt idx="6">
                  <c:v>1200</c:v>
                </c:pt>
                <c:pt idx="7">
                  <c:v>700</c:v>
                </c:pt>
                <c:pt idx="8">
                  <c:v>700</c:v>
                </c:pt>
                <c:pt idx="9">
                  <c:v>479</c:v>
                </c:pt>
                <c:pt idx="10">
                  <c:v>329</c:v>
                </c:pt>
                <c:pt idx="11">
                  <c:v>161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ser>
          <c:idx val="1"/>
          <c:order val="1"/>
          <c:tx>
            <c:strRef>
              <c:f>'💡 Plan de Acción'!$J$6</c:f>
              <c:strCache>
                <c:ptCount val="1"/>
                <c:pt idx="0">
                  <c:v>Meta</c:v>
                </c:pt>
              </c:strCache>
            </c:strRef>
          </c:tx>
          <c:spPr>
            <a:solidFill>
              <a:srgbClr val="1e8449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'💡 Plan de Acción'!$H$7:$H$20</c:f>
              <c:strCache>
                <c:ptCount val="14"/>
                <c:pt idx="0">
                  <c:v>🛒 Despensa/Súpe</c:v>
                </c:pt>
                <c:pt idx="1">
                  <c:v>⛽ Gasolina</c:v>
                </c:pt>
                <c:pt idx="2">
                  <c:v>🍔 Comida rápida</c:v>
                </c:pt>
                <c:pt idx="3">
                  <c:v>🏪 OXXO/Convenie</c:v>
                </c:pt>
                <c:pt idx="4">
                  <c:v>☕ Caffenio</c:v>
                </c:pt>
                <c:pt idx="5">
                  <c:v>💊 Salud</c:v>
                </c:pt>
                <c:pt idx="6">
                  <c:v>📆 Costco a mese</c:v>
                </c:pt>
                <c:pt idx="7">
                  <c:v>🛍️ Compras onli</c:v>
                </c:pt>
                <c:pt idx="8">
                  <c:v>👗 Ropa/Personal</c:v>
                </c:pt>
                <c:pt idx="9">
                  <c:v>📱 Celular Telce</c:v>
                </c:pt>
                <c:pt idx="10">
                  <c:v>🎬 Netflix</c:v>
                </c:pt>
                <c:pt idx="11">
                  <c:v>💰 GBM/Inversión</c:v>
                </c:pt>
                <c:pt idx="12">
                  <c:v>🆘 Fondo de Emer</c:v>
                </c:pt>
                <c:pt idx="13">
                  <c:v>💳 Pago extra de</c:v>
                </c:pt>
              </c:strCache>
            </c:strRef>
          </c:cat>
          <c:val>
            <c:numRef>
              <c:f>'💡 Plan de Acción'!$J$7:$J$20</c:f>
              <c:numCache>
                <c:formatCode>General</c:formatCode>
                <c:ptCount val="14"/>
                <c:pt idx="0">
                  <c:v>4500</c:v>
                </c:pt>
                <c:pt idx="1">
                  <c:v>2800</c:v>
                </c:pt>
                <c:pt idx="2">
                  <c:v>600</c:v>
                </c:pt>
                <c:pt idx="3">
                  <c:v>300</c:v>
                </c:pt>
                <c:pt idx="4">
                  <c:v>0</c:v>
                </c:pt>
                <c:pt idx="5">
                  <c:v>900</c:v>
                </c:pt>
                <c:pt idx="6">
                  <c:v>1200</c:v>
                </c:pt>
                <c:pt idx="7">
                  <c:v>200</c:v>
                </c:pt>
                <c:pt idx="8">
                  <c:v>300</c:v>
                </c:pt>
                <c:pt idx="9">
                  <c:v>399</c:v>
                </c:pt>
                <c:pt idx="10">
                  <c:v>329</c:v>
                </c:pt>
                <c:pt idx="11">
                  <c:v>500</c:v>
                </c:pt>
                <c:pt idx="12">
                  <c:v>500</c:v>
                </c:pt>
                <c:pt idx="13">
                  <c:v>500</c:v>
                </c:pt>
              </c:numCache>
            </c:numRef>
          </c:val>
        </c:ser>
        <c:gapWidth val="150"/>
        <c:overlap val="0"/>
        <c:axId val="9091230"/>
        <c:axId val="50070278"/>
      </c:barChart>
      <c:catAx>
        <c:axId val="909123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070278"/>
        <c:crosses val="autoZero"/>
        <c:auto val="1"/>
        <c:lblAlgn val="ctr"/>
        <c:lblOffset val="100"/>
        <c:noMultiLvlLbl val="0"/>
      </c:catAx>
      <c:valAx>
        <c:axId val="5007027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lang="es-MX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s-MX" sz="1000" spc="-1" strike="noStrike">
                    <a:solidFill>
                      <a:srgbClr val="000000"/>
                    </a:solidFill>
                    <a:latin typeface="Calibri"/>
                  </a:rPr>
                  <a:t>MXN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9123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Deuda vs Ahorro+Inversión mes a mes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'📈 Proyección'!$J$13</c:f>
              <c:strCache>
                <c:ptCount val="1"/>
                <c:pt idx="0">
                  <c:v>Deuda</c:v>
                </c:pt>
              </c:strCache>
            </c:strRef>
          </c:tx>
          <c:spPr>
            <a:solidFill>
              <a:srgbClr val="c0392b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'📈 Proyección'!$I$14:$I$25</c:f>
              <c:strCache>
                <c:ptCount val="12"/>
                <c:pt idx="0">
                  <c:v>Mayo 26</c:v>
                </c:pt>
                <c:pt idx="1">
                  <c:v>Junio 26</c:v>
                </c:pt>
                <c:pt idx="2">
                  <c:v>Julio 26</c:v>
                </c:pt>
                <c:pt idx="3">
                  <c:v>Agosto 26</c:v>
                </c:pt>
                <c:pt idx="4">
                  <c:v>Sept 26</c:v>
                </c:pt>
                <c:pt idx="5">
                  <c:v>Oct 26</c:v>
                </c:pt>
                <c:pt idx="6">
                  <c:v>Nov 26</c:v>
                </c:pt>
                <c:pt idx="7">
                  <c:v>Dic 26</c:v>
                </c:pt>
                <c:pt idx="8">
                  <c:v>Enero 27</c:v>
                </c:pt>
                <c:pt idx="9">
                  <c:v>Feb 27</c:v>
                </c:pt>
                <c:pt idx="10">
                  <c:v>Marzo 27</c:v>
                </c:pt>
                <c:pt idx="11">
                  <c:v>Abril 27</c:v>
                </c:pt>
              </c:strCache>
            </c:strRef>
          </c:cat>
          <c:val>
            <c:numRef>
              <c:f>'📈 Proyección'!$J$14:$J$25</c:f>
              <c:numCache>
                <c:formatCode>General</c:formatCode>
                <c:ptCount val="12"/>
                <c:pt idx="0">
                  <c:v>9056.18</c:v>
                </c:pt>
                <c:pt idx="1">
                  <c:v>8994.35</c:v>
                </c:pt>
                <c:pt idx="2">
                  <c:v>8929.53</c:v>
                </c:pt>
                <c:pt idx="3">
                  <c:v>8861.57</c:v>
                </c:pt>
                <c:pt idx="4">
                  <c:v>8790.32</c:v>
                </c:pt>
                <c:pt idx="5">
                  <c:v>8715.62</c:v>
                </c:pt>
                <c:pt idx="6">
                  <c:v>8637.32</c:v>
                </c:pt>
                <c:pt idx="7">
                  <c:v>8555.22</c:v>
                </c:pt>
                <c:pt idx="8">
                  <c:v>8469.15</c:v>
                </c:pt>
                <c:pt idx="9">
                  <c:v>8378.91</c:v>
                </c:pt>
                <c:pt idx="10">
                  <c:v>8284.31</c:v>
                </c:pt>
                <c:pt idx="11">
                  <c:v>8185.13</c:v>
                </c:pt>
              </c:numCache>
            </c:numRef>
          </c:val>
        </c:ser>
        <c:ser>
          <c:idx val="1"/>
          <c:order val="1"/>
          <c:tx>
            <c:strRef>
              <c:f>'📈 Proyección'!$K$13</c:f>
              <c:strCache>
                <c:ptCount val="1"/>
                <c:pt idx="0">
                  <c:v>Ahorro</c:v>
                </c:pt>
              </c:strCache>
            </c:strRef>
          </c:tx>
          <c:spPr>
            <a:solidFill>
              <a:srgbClr val="0d7377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'📈 Proyección'!$I$14:$I$25</c:f>
              <c:strCache>
                <c:ptCount val="12"/>
                <c:pt idx="0">
                  <c:v>Mayo 26</c:v>
                </c:pt>
                <c:pt idx="1">
                  <c:v>Junio 26</c:v>
                </c:pt>
                <c:pt idx="2">
                  <c:v>Julio 26</c:v>
                </c:pt>
                <c:pt idx="3">
                  <c:v>Agosto 26</c:v>
                </c:pt>
                <c:pt idx="4">
                  <c:v>Sept 26</c:v>
                </c:pt>
                <c:pt idx="5">
                  <c:v>Oct 26</c:v>
                </c:pt>
                <c:pt idx="6">
                  <c:v>Nov 26</c:v>
                </c:pt>
                <c:pt idx="7">
                  <c:v>Dic 26</c:v>
                </c:pt>
                <c:pt idx="8">
                  <c:v>Enero 27</c:v>
                </c:pt>
                <c:pt idx="9">
                  <c:v>Feb 27</c:v>
                </c:pt>
                <c:pt idx="10">
                  <c:v>Marzo 27</c:v>
                </c:pt>
                <c:pt idx="11">
                  <c:v>Abril 27</c:v>
                </c:pt>
              </c:strCache>
            </c:strRef>
          </c:cat>
          <c:val>
            <c:numRef>
              <c:f>'📈 Proyección'!$K$14:$K$25</c:f>
              <c:numCache>
                <c:formatCode>General</c:formatCode>
                <c:ptCount val="12"/>
                <c:pt idx="0">
                  <c:v>500</c:v>
                </c:pt>
                <c:pt idx="1">
                  <c:v>1000</c:v>
                </c:pt>
                <c:pt idx="2">
                  <c:v>1500</c:v>
                </c:pt>
                <c:pt idx="3">
                  <c:v>2000</c:v>
                </c:pt>
                <c:pt idx="4">
                  <c:v>2500</c:v>
                </c:pt>
                <c:pt idx="5">
                  <c:v>3000</c:v>
                </c:pt>
                <c:pt idx="6">
                  <c:v>3500</c:v>
                </c:pt>
                <c:pt idx="7">
                  <c:v>4000</c:v>
                </c:pt>
                <c:pt idx="8">
                  <c:v>4500</c:v>
                </c:pt>
                <c:pt idx="9">
                  <c:v>5000</c:v>
                </c:pt>
                <c:pt idx="10">
                  <c:v>5500</c:v>
                </c:pt>
                <c:pt idx="11">
                  <c:v>6000</c:v>
                </c:pt>
              </c:numCache>
            </c:numRef>
          </c:val>
        </c:ser>
        <c:ser>
          <c:idx val="2"/>
          <c:order val="2"/>
          <c:tx>
            <c:strRef>
              <c:f>'📈 Proyección'!$L$13</c:f>
              <c:strCache>
                <c:ptCount val="1"/>
                <c:pt idx="0">
                  <c:v>Inversión</c:v>
                </c:pt>
              </c:strCache>
            </c:strRef>
          </c:tx>
          <c:spPr>
            <a:solidFill>
              <a:srgbClr val="e6a817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'📈 Proyección'!$I$14:$I$25</c:f>
              <c:strCache>
                <c:ptCount val="12"/>
                <c:pt idx="0">
                  <c:v>Mayo 26</c:v>
                </c:pt>
                <c:pt idx="1">
                  <c:v>Junio 26</c:v>
                </c:pt>
                <c:pt idx="2">
                  <c:v>Julio 26</c:v>
                </c:pt>
                <c:pt idx="3">
                  <c:v>Agosto 26</c:v>
                </c:pt>
                <c:pt idx="4">
                  <c:v>Sept 26</c:v>
                </c:pt>
                <c:pt idx="5">
                  <c:v>Oct 26</c:v>
                </c:pt>
                <c:pt idx="6">
                  <c:v>Nov 26</c:v>
                </c:pt>
                <c:pt idx="7">
                  <c:v>Dic 26</c:v>
                </c:pt>
                <c:pt idx="8">
                  <c:v>Enero 27</c:v>
                </c:pt>
                <c:pt idx="9">
                  <c:v>Feb 27</c:v>
                </c:pt>
                <c:pt idx="10">
                  <c:v>Marzo 27</c:v>
                </c:pt>
                <c:pt idx="11">
                  <c:v>Abril 27</c:v>
                </c:pt>
              </c:strCache>
            </c:strRef>
          </c:cat>
          <c:val>
            <c:numRef>
              <c:f>'📈 Proyección'!$L$14:$L$25</c:f>
              <c:numCache>
                <c:formatCode>General</c:formatCode>
                <c:ptCount val="12"/>
                <c:pt idx="0">
                  <c:v>500</c:v>
                </c:pt>
                <c:pt idx="1">
                  <c:v>1004.17</c:v>
                </c:pt>
                <c:pt idx="2">
                  <c:v>1512.53</c:v>
                </c:pt>
                <c:pt idx="3">
                  <c:v>2025.14</c:v>
                </c:pt>
                <c:pt idx="4">
                  <c:v>2542.02</c:v>
                </c:pt>
                <c:pt idx="5">
                  <c:v>3063.2</c:v>
                </c:pt>
                <c:pt idx="6">
                  <c:v>3588.73</c:v>
                </c:pt>
                <c:pt idx="7">
                  <c:v>4118.63</c:v>
                </c:pt>
                <c:pt idx="8">
                  <c:v>4652.95</c:v>
                </c:pt>
                <c:pt idx="9">
                  <c:v>5191.73</c:v>
                </c:pt>
                <c:pt idx="10">
                  <c:v>5734.99</c:v>
                </c:pt>
                <c:pt idx="11">
                  <c:v>6282.78</c:v>
                </c:pt>
              </c:numCache>
            </c:numRef>
          </c:val>
        </c:ser>
        <c:gapWidth val="150"/>
        <c:overlap val="100"/>
        <c:axId val="65707715"/>
        <c:axId val="1279986"/>
      </c:barChart>
      <c:catAx>
        <c:axId val="6570771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79986"/>
        <c:crosses val="autoZero"/>
        <c:auto val="1"/>
        <c:lblAlgn val="ctr"/>
        <c:lblOffset val="100"/>
        <c:noMultiLvlLbl val="0"/>
      </c:catAx>
      <c:valAx>
        <c:axId val="127998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MXN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70771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Gasto Real vs Presupuesto por Categoría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'📊 Dashboard'!$C$11</c:f>
              <c:strCache>
                <c:ptCount val="1"/>
                <c:pt idx="0">
                  <c:v>Gasto Real ($)</c:v>
                </c:pt>
              </c:strCache>
            </c:strRef>
          </c:tx>
          <c:spPr>
            <a:solidFill>
              <a:srgbClr val="ff6b6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'📊 Dashboard'!$B$12:$B$24</c:f>
              <c:strCache>
                <c:ptCount val="13"/>
                <c:pt idx="0">
                  <c:v>Servicio Básico</c:v>
                </c:pt>
                <c:pt idx="1">
                  <c:v>Educación/Salud</c:v>
                </c:pt>
                <c:pt idx="2">
                  <c:v>Transporte</c:v>
                </c:pt>
                <c:pt idx="3">
                  <c:v>Vivienda</c:v>
                </c:pt>
                <c:pt idx="4">
                  <c:v>Alimentación</c:v>
                </c:pt>
                <c:pt idx="5">
                  <c:v>Salud</c:v>
                </c:pt>
                <c:pt idx="6">
                  <c:v>Entretenimiento</c:v>
                </c:pt>
                <c:pt idx="7">
                  <c:v>Comunicación</c:v>
                </c:pt>
                <c:pt idx="8">
                  <c:v>Ropa/Personal</c:v>
                </c:pt>
                <c:pt idx="9">
                  <c:v>Deudas/Crédito</c:v>
                </c:pt>
                <c:pt idx="10">
                  <c:v>Ahorro</c:v>
                </c:pt>
                <c:pt idx="11">
                  <c:v>Inversión</c:v>
                </c:pt>
                <c:pt idx="12">
                  <c:v>Otros</c:v>
                </c:pt>
              </c:strCache>
            </c:strRef>
          </c:cat>
          <c:val>
            <c:numRef>
              <c:f>'📊 Dashboard'!$C$12:$C$24</c:f>
              <c:numCache>
                <c:formatCode>\$#,##0.00</c:formatCode>
                <c:ptCount val="13"/>
                <c:pt idx="0">
                  <c:v>1900</c:v>
                </c:pt>
                <c:pt idx="1">
                  <c:v>0</c:v>
                </c:pt>
                <c:pt idx="2">
                  <c:v>7956.58</c:v>
                </c:pt>
                <c:pt idx="3">
                  <c:v>0</c:v>
                </c:pt>
                <c:pt idx="4">
                  <c:v>24996.06</c:v>
                </c:pt>
                <c:pt idx="5">
                  <c:v>2649.2</c:v>
                </c:pt>
                <c:pt idx="6">
                  <c:v>2408</c:v>
                </c:pt>
                <c:pt idx="7">
                  <c:v>758</c:v>
                </c:pt>
                <c:pt idx="8">
                  <c:v>943.24</c:v>
                </c:pt>
                <c:pt idx="9">
                  <c:v>2986.28</c:v>
                </c:pt>
                <c:pt idx="10">
                  <c:v>0</c:v>
                </c:pt>
                <c:pt idx="11">
                  <c:v>161</c:v>
                </c:pt>
                <c:pt idx="12">
                  <c:v>19.99</c:v>
                </c:pt>
              </c:numCache>
            </c:numRef>
          </c:val>
        </c:ser>
        <c:ser>
          <c:idx val="1"/>
          <c:order val="1"/>
          <c:tx>
            <c:strRef>
              <c:f>'📊 Dashboard'!$D$11</c:f>
              <c:strCache>
                <c:ptCount val="1"/>
                <c:pt idx="0">
                  <c:v>Presupuesto ($)</c:v>
                </c:pt>
              </c:strCache>
            </c:strRef>
          </c:tx>
          <c:spPr>
            <a:solidFill>
              <a:srgbClr val="0d737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'📊 Dashboard'!$B$12:$B$24</c:f>
              <c:strCache>
                <c:ptCount val="13"/>
                <c:pt idx="0">
                  <c:v>Servicio Básico</c:v>
                </c:pt>
                <c:pt idx="1">
                  <c:v>Educación/Salud</c:v>
                </c:pt>
                <c:pt idx="2">
                  <c:v>Transporte</c:v>
                </c:pt>
                <c:pt idx="3">
                  <c:v>Vivienda</c:v>
                </c:pt>
                <c:pt idx="4">
                  <c:v>Alimentación</c:v>
                </c:pt>
                <c:pt idx="5">
                  <c:v>Salud</c:v>
                </c:pt>
                <c:pt idx="6">
                  <c:v>Entretenimiento</c:v>
                </c:pt>
                <c:pt idx="7">
                  <c:v>Comunicación</c:v>
                </c:pt>
                <c:pt idx="8">
                  <c:v>Ropa/Personal</c:v>
                </c:pt>
                <c:pt idx="9">
                  <c:v>Deudas/Crédito</c:v>
                </c:pt>
                <c:pt idx="10">
                  <c:v>Ahorro</c:v>
                </c:pt>
                <c:pt idx="11">
                  <c:v>Inversión</c:v>
                </c:pt>
                <c:pt idx="12">
                  <c:v>Otros</c:v>
                </c:pt>
              </c:strCache>
            </c:strRef>
          </c:cat>
          <c:val>
            <c:numRef>
              <c:f>'📊 Dashboard'!$D$12:$D$24</c:f>
              <c:numCache>
                <c:formatCode>\$#,##0.00</c:formatCode>
                <c:ptCount val="13"/>
                <c:pt idx="0">
                  <c:v>1759</c:v>
                </c:pt>
                <c:pt idx="1">
                  <c:v>4000</c:v>
                </c:pt>
                <c:pt idx="2">
                  <c:v>2000</c:v>
                </c:pt>
                <c:pt idx="3">
                  <c:v>1000</c:v>
                </c:pt>
                <c:pt idx="4">
                  <c:v>5000</c:v>
                </c:pt>
                <c:pt idx="5">
                  <c:v>700</c:v>
                </c:pt>
                <c:pt idx="6">
                  <c:v>349</c:v>
                </c:pt>
                <c:pt idx="7">
                  <c:v>720</c:v>
                </c:pt>
                <c:pt idx="8">
                  <c:v>0</c:v>
                </c:pt>
                <c:pt idx="9">
                  <c:v>0</c:v>
                </c:pt>
                <c:pt idx="10">
                  <c:v>3100</c:v>
                </c:pt>
                <c:pt idx="11">
                  <c:v>1550</c:v>
                </c:pt>
                <c:pt idx="12">
                  <c:v>1800</c:v>
                </c:pt>
              </c:numCache>
            </c:numRef>
          </c:val>
        </c:ser>
        <c:gapWidth val="150"/>
        <c:overlap val="-10"/>
        <c:axId val="72488416"/>
        <c:axId val="4408795"/>
      </c:barChart>
      <c:catAx>
        <c:axId val="7248841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Categoría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08795"/>
        <c:crosses val="autoZero"/>
        <c:auto val="1"/>
        <c:lblAlgn val="ctr"/>
        <c:lblOffset val="100"/>
        <c:noMultiLvlLbl val="0"/>
      </c:catAx>
      <c:valAx>
        <c:axId val="440879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MXN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48841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Distribución de Gastos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416a9c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9f423f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809b49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spPr>
              <a:solidFill>
                <a:srgbClr val="6a5286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4"/>
            <c:spPr>
              <a:solidFill>
                <a:srgbClr val="3e8ea4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5"/>
            <c:spPr>
              <a:solidFill>
                <a:srgbClr val="cc7c3a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6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7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8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9"/>
            <c:spPr>
              <a:solidFill>
                <a:srgbClr val="8064a2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0"/>
            <c:spPr>
              <a:solidFill>
                <a:srgbClr val="4bacc6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1"/>
            <c:spPr>
              <a:solidFill>
                <a:srgbClr val="f79646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2"/>
            <c:spPr>
              <a:solidFill>
                <a:srgbClr val="aabad7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numFmt formatCode="\$#,##0.00" sourceLinked="1"/>
            <c:dLbl>
              <c:idx val="0"/>
              <c:numFmt formatCode="\$#,##0.0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0"/>
              <c:showSerName val="1"/>
              <c:showPercent val="1"/>
              <c:separator>; </c:separator>
            </c:dLbl>
            <c:dLbl>
              <c:idx val="1"/>
              <c:numFmt formatCode="\$#,##0.0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0"/>
              <c:showSerName val="1"/>
              <c:showPercent val="1"/>
              <c:separator>; </c:separator>
            </c:dLbl>
            <c:dLbl>
              <c:idx val="2"/>
              <c:numFmt formatCode="\$#,##0.0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0"/>
              <c:showSerName val="1"/>
              <c:showPercent val="1"/>
              <c:separator>; </c:separator>
            </c:dLbl>
            <c:dLbl>
              <c:idx val="3"/>
              <c:numFmt formatCode="\$#,##0.0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0"/>
              <c:showSerName val="1"/>
              <c:showPercent val="1"/>
              <c:separator>; </c:separator>
            </c:dLbl>
            <c:dLbl>
              <c:idx val="4"/>
              <c:numFmt formatCode="\$#,##0.0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0"/>
              <c:showSerName val="1"/>
              <c:showPercent val="1"/>
              <c:separator>; </c:separator>
            </c:dLbl>
            <c:dLbl>
              <c:idx val="5"/>
              <c:numFmt formatCode="\$#,##0.0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0"/>
              <c:showSerName val="1"/>
              <c:showPercent val="1"/>
              <c:separator>; </c:separator>
            </c:dLbl>
            <c:dLbl>
              <c:idx val="6"/>
              <c:numFmt formatCode="\$#,##0.0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0"/>
              <c:showSerName val="1"/>
              <c:showPercent val="1"/>
              <c:separator>; </c:separator>
            </c:dLbl>
            <c:dLbl>
              <c:idx val="7"/>
              <c:numFmt formatCode="\$#,##0.0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0"/>
              <c:showSerName val="1"/>
              <c:showPercent val="1"/>
              <c:separator>; </c:separator>
            </c:dLbl>
            <c:dLbl>
              <c:idx val="8"/>
              <c:numFmt formatCode="\$#,##0.0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0"/>
              <c:showSerName val="1"/>
              <c:showPercent val="1"/>
              <c:separator>; </c:separator>
            </c:dLbl>
            <c:dLbl>
              <c:idx val="9"/>
              <c:numFmt formatCode="\$#,##0.0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0"/>
              <c:showSerName val="1"/>
              <c:showPercent val="1"/>
              <c:separator>; </c:separator>
            </c:dLbl>
            <c:dLbl>
              <c:idx val="10"/>
              <c:numFmt formatCode="\$#,##0.0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0"/>
              <c:showSerName val="1"/>
              <c:showPercent val="1"/>
              <c:separator>; </c:separator>
            </c:dLbl>
            <c:dLbl>
              <c:idx val="11"/>
              <c:numFmt formatCode="\$#,##0.0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0"/>
              <c:showSerName val="1"/>
              <c:showPercent val="1"/>
              <c:separator>; </c:separator>
            </c:dLbl>
            <c:dLbl>
              <c:idx val="12"/>
              <c:numFmt formatCode="\$#,##0.0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0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0"/>
            <c:showSerName val="1"/>
            <c:showPercent val="1"/>
            <c:separator>; </c:separator>
            <c:showLeaderLines val="1"/>
          </c:dLbls>
          <c:cat>
            <c:strRef>
              <c:f>'📊 Dashboard'!$B$12:$B$24</c:f>
              <c:strCache>
                <c:ptCount val="13"/>
                <c:pt idx="0">
                  <c:v>Servicio Básico</c:v>
                </c:pt>
                <c:pt idx="1">
                  <c:v>Educación/Salud</c:v>
                </c:pt>
                <c:pt idx="2">
                  <c:v>Transporte</c:v>
                </c:pt>
                <c:pt idx="3">
                  <c:v>Vivienda</c:v>
                </c:pt>
                <c:pt idx="4">
                  <c:v>Alimentación</c:v>
                </c:pt>
                <c:pt idx="5">
                  <c:v>Salud</c:v>
                </c:pt>
                <c:pt idx="6">
                  <c:v>Entretenimiento</c:v>
                </c:pt>
                <c:pt idx="7">
                  <c:v>Comunicación</c:v>
                </c:pt>
                <c:pt idx="8">
                  <c:v>Ropa/Personal</c:v>
                </c:pt>
                <c:pt idx="9">
                  <c:v>Deudas/Crédito</c:v>
                </c:pt>
                <c:pt idx="10">
                  <c:v>Ahorro</c:v>
                </c:pt>
                <c:pt idx="11">
                  <c:v>Inversión</c:v>
                </c:pt>
                <c:pt idx="12">
                  <c:v>Otros</c:v>
                </c:pt>
              </c:strCache>
            </c:strRef>
          </c:cat>
          <c:val>
            <c:numRef>
              <c:f>'📊 Dashboard'!$C$12:$C$24</c:f>
              <c:numCache>
                <c:formatCode>\$#,##0.00</c:formatCode>
                <c:ptCount val="13"/>
                <c:pt idx="0">
                  <c:v>1900</c:v>
                </c:pt>
                <c:pt idx="1">
                  <c:v>0</c:v>
                </c:pt>
                <c:pt idx="2">
                  <c:v>7956.58</c:v>
                </c:pt>
                <c:pt idx="3">
                  <c:v>0</c:v>
                </c:pt>
                <c:pt idx="4">
                  <c:v>24996.06</c:v>
                </c:pt>
                <c:pt idx="5">
                  <c:v>2649.2</c:v>
                </c:pt>
                <c:pt idx="6">
                  <c:v>2408</c:v>
                </c:pt>
                <c:pt idx="7">
                  <c:v>758</c:v>
                </c:pt>
                <c:pt idx="8">
                  <c:v>943.24</c:v>
                </c:pt>
                <c:pt idx="9">
                  <c:v>2986.28</c:v>
                </c:pt>
                <c:pt idx="10">
                  <c:v>0</c:v>
                </c:pt>
                <c:pt idx="11">
                  <c:v>161</c:v>
                </c:pt>
                <c:pt idx="12">
                  <c:v>19.99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s-MX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s-MX" sz="1800" spc="-1" strike="noStrike">
                <a:solidFill>
                  <a:srgbClr val="000000"/>
                </a:solidFill>
                <a:latin typeface="Calibri"/>
              </a:rPr>
              <a:t>Crecimiento del Ahorro e Inversión (12 meses)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66044230272782"/>
          <c:y val="0.123529902410543"/>
          <c:w val="0.812666724034076"/>
          <c:h val="0.740345316540162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'🏦 Plan Ahorro'!$G$12</c:f>
              <c:strCache>
                <c:ptCount val="1"/>
                <c:pt idx="0">
                  <c:v>Saldo Ahorro</c:v>
                </c:pt>
              </c:strCache>
            </c:strRef>
          </c:tx>
          <c:spPr>
            <a:solidFill>
              <a:srgbClr val="0d737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'🏦 Plan Ahorro'!$B$13:$B$25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/>
                </c:pt>
              </c:strCache>
            </c:strRef>
          </c:cat>
          <c:val>
            <c:numRef>
              <c:f>'🏦 Plan Ahorro'!$G$13:$G$25</c:f>
              <c:numCache>
                <c:formatCode>\$#,##0.00</c:formatCode>
                <c:ptCount val="13"/>
                <c:pt idx="0">
                  <c:v>3124.7198353296</c:v>
                </c:pt>
                <c:pt idx="1">
                  <c:v>12499.0764607567</c:v>
                </c:pt>
                <c:pt idx="2">
                  <c:v>31322.5421477727</c:v>
                </c:pt>
                <c:pt idx="3">
                  <c:v>69119.5744805516</c:v>
                </c:pt>
                <c:pt idx="4">
                  <c:v>145015.037989727</c:v>
                </c:pt>
                <c:pt idx="5">
                  <c:v>297411.166092016</c:v>
                </c:pt>
                <c:pt idx="6">
                  <c:v>603418.650422904</c:v>
                </c:pt>
                <c:pt idx="7">
                  <c:v>1217873.76573703</c:v>
                </c:pt>
                <c:pt idx="8">
                  <c:v>2451683.74774205</c:v>
                </c:pt>
                <c:pt idx="9">
                  <c:v>4929142.28581119</c:v>
                </c:pt>
                <c:pt idx="10">
                  <c:v>9903814.96423882</c:v>
                </c:pt>
                <c:pt idx="11">
                  <c:v>19892829.0596197</c:v>
                </c:pt>
              </c:numCache>
            </c:numRef>
          </c:val>
        </c:ser>
        <c:ser>
          <c:idx val="1"/>
          <c:order val="1"/>
          <c:tx>
            <c:strRef>
              <c:f>'🏦 Plan Ahorro'!$H$12</c:f>
              <c:strCache>
                <c:ptCount val="1"/>
                <c:pt idx="0">
                  <c:v>Saldo Inversión</c:v>
                </c:pt>
              </c:strCache>
            </c:strRef>
          </c:tx>
          <c:spPr>
            <a:solidFill>
              <a:srgbClr val="f2a90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'🏦 Plan Ahorro'!$B$13:$B$25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/>
                </c:pt>
              </c:strCache>
            </c:strRef>
          </c:cat>
          <c:val>
            <c:numRef>
              <c:f>'🏦 Plan Ahorro'!$H$13:$H$25</c:f>
              <c:numCache>
                <c:formatCode>\$#,##0.00</c:formatCode>
                <c:ptCount val="13"/>
                <c:pt idx="0">
                  <c:v>1562.3599176648</c:v>
                </c:pt>
                <c:pt idx="1">
                  <c:v>6249.53823037835</c:v>
                </c:pt>
                <c:pt idx="2">
                  <c:v>15661.2710738864</c:v>
                </c:pt>
                <c:pt idx="3">
                  <c:v>34559.7872402758</c:v>
                </c:pt>
                <c:pt idx="4">
                  <c:v>72507.5189948634</c:v>
                </c:pt>
                <c:pt idx="5">
                  <c:v>148705.583046008</c:v>
                </c:pt>
                <c:pt idx="6">
                  <c:v>301709.325211452</c:v>
                </c:pt>
                <c:pt idx="7">
                  <c:v>608936.882868515</c:v>
                </c:pt>
                <c:pt idx="8">
                  <c:v>1225841.87387103</c:v>
                </c:pt>
                <c:pt idx="9">
                  <c:v>2464571.1429056</c:v>
                </c:pt>
                <c:pt idx="10">
                  <c:v>4951907.48211941</c:v>
                </c:pt>
                <c:pt idx="11">
                  <c:v>9946414.52980985</c:v>
                </c:pt>
              </c:numCache>
            </c:numRef>
          </c:val>
        </c:ser>
        <c:gapWidth val="150"/>
        <c:overlap val="100"/>
        <c:axId val="54390930"/>
        <c:axId val="61172030"/>
      </c:barChart>
      <c:catAx>
        <c:axId val="54390930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lang="es-MX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s-MX" sz="1000" spc="-1" strike="noStrike">
                    <a:solidFill>
                      <a:srgbClr val="000000"/>
                    </a:solidFill>
                    <a:latin typeface="Calibri"/>
                  </a:rPr>
                  <a:t>Mes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172030"/>
        <c:crosses val="autoZero"/>
        <c:auto val="1"/>
        <c:lblAlgn val="ctr"/>
        <c:lblOffset val="100"/>
        <c:noMultiLvlLbl val="0"/>
      </c:catAx>
      <c:valAx>
        <c:axId val="6117203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lang="es-MX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s-MX" sz="1000" spc="-1" strike="noStrike">
                    <a:solidFill>
                      <a:srgbClr val="000000"/>
                    </a:solidFill>
                    <a:latin typeface="Calibri"/>
                  </a:rPr>
                  <a:t>Saldo ($MXN)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39093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s-MX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s-MX" sz="1800" spc="-1" strike="noStrike">
                <a:solidFill>
                  <a:srgbClr val="000000"/>
                </a:solidFill>
                <a:latin typeface="Calibri"/>
              </a:rPr>
              <a:t>Gasto por Categoría de Producto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'📊 Análisis Tickets'!$J$4</c:f>
              <c:strCache>
                <c:ptCount val="1"/>
                <c:pt idx="0">
                  <c:v>Gasto</c:v>
                </c:pt>
              </c:strCache>
            </c:strRef>
          </c:tx>
          <c:spPr>
            <a:solidFill>
              <a:srgbClr val="0d7377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'📊 Análisis Tickets'!$I$5:$I$14</c:f>
              <c:strCache>
                <c:ptCount val="10"/>
                <c:pt idx="0">
                  <c:v>Carnes y Proteínas</c:v>
                </c:pt>
                <c:pt idx="1">
                  <c:v>Lácteos y Huevo</c:v>
                </c:pt>
                <c:pt idx="2">
                  <c:v>Abarrotes/Despensa</c:v>
                </c:pt>
                <c:pt idx="3">
                  <c:v>Limpieza Hogar</c:v>
                </c:pt>
                <c:pt idx="4">
                  <c:v>Frutas y Verduras</c:v>
                </c:pt>
                <c:pt idx="5">
                  <c:v>Higiene Personal</c:v>
                </c:pt>
                <c:pt idx="6">
                  <c:v>Pan y Cereales</c:v>
                </c:pt>
                <c:pt idx="7">
                  <c:v>Bebidas</c:v>
                </c:pt>
                <c:pt idx="8">
                  <c:v>Botanas y Dulces</c:v>
                </c:pt>
                <c:pt idx="9">
                  <c:v>Otros</c:v>
                </c:pt>
              </c:strCache>
            </c:strRef>
          </c:cat>
          <c:val>
            <c:numRef>
              <c:f>'📊 Análisis Tickets'!$J$5:$J$14</c:f>
              <c:numCache>
                <c:formatCode>General</c:formatCode>
                <c:ptCount val="10"/>
                <c:pt idx="0">
                  <c:v>1867</c:v>
                </c:pt>
                <c:pt idx="1">
                  <c:v>1145</c:v>
                </c:pt>
                <c:pt idx="2">
                  <c:v>1026</c:v>
                </c:pt>
                <c:pt idx="3">
                  <c:v>364.2</c:v>
                </c:pt>
                <c:pt idx="4">
                  <c:v>306</c:v>
                </c:pt>
                <c:pt idx="5">
                  <c:v>266</c:v>
                </c:pt>
                <c:pt idx="6">
                  <c:v>248.9</c:v>
                </c:pt>
                <c:pt idx="7">
                  <c:v>236</c:v>
                </c:pt>
                <c:pt idx="8">
                  <c:v>90</c:v>
                </c:pt>
                <c:pt idx="9">
                  <c:v>72</c:v>
                </c:pt>
              </c:numCache>
            </c:numRef>
          </c:val>
        </c:ser>
        <c:gapWidth val="150"/>
        <c:overlap val="0"/>
        <c:axId val="95801593"/>
        <c:axId val="26425848"/>
      </c:barChart>
      <c:catAx>
        <c:axId val="95801593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lang="es-MX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s-MX" sz="1000" spc="-1" strike="noStrike">
                    <a:solidFill>
                      <a:srgbClr val="000000"/>
                    </a:solidFill>
                    <a:latin typeface="Calibri"/>
                  </a:rPr>
                  <a:t>MXN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425848"/>
        <c:crosses val="autoZero"/>
        <c:auto val="1"/>
        <c:lblAlgn val="ctr"/>
        <c:lblOffset val="100"/>
        <c:noMultiLvlLbl val="0"/>
      </c:catAx>
      <c:valAx>
        <c:axId val="2642584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80159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7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104760</xdr:colOff>
      <xdr:row>6</xdr:row>
      <xdr:rowOff>295200</xdr:rowOff>
    </xdr:from>
    <xdr:to>
      <xdr:col>16</xdr:col>
      <xdr:colOff>268560</xdr:colOff>
      <xdr:row>23</xdr:row>
      <xdr:rowOff>59040</xdr:rowOff>
    </xdr:to>
    <xdr:graphicFrame>
      <xdr:nvGraphicFramePr>
        <xdr:cNvPr id="0" name="Chart 1"/>
        <xdr:cNvGraphicFramePr/>
      </xdr:nvGraphicFramePr>
      <xdr:xfrm>
        <a:off x="10193760" y="1942920"/>
        <a:ext cx="5076000" cy="4316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21</xdr:row>
      <xdr:rowOff>0</xdr:rowOff>
    </xdr:from>
    <xdr:to>
      <xdr:col>18</xdr:col>
      <xdr:colOff>136800</xdr:colOff>
      <xdr:row>35</xdr:row>
      <xdr:rowOff>66960</xdr:rowOff>
    </xdr:to>
    <xdr:graphicFrame>
      <xdr:nvGraphicFramePr>
        <xdr:cNvPr id="1" name="Chart 1"/>
        <xdr:cNvGraphicFramePr/>
      </xdr:nvGraphicFramePr>
      <xdr:xfrm>
        <a:off x="9213120" y="5915160"/>
        <a:ext cx="7243920" cy="4676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29</xdr:row>
      <xdr:rowOff>0</xdr:rowOff>
    </xdr:from>
    <xdr:to>
      <xdr:col>9</xdr:col>
      <xdr:colOff>233640</xdr:colOff>
      <xdr:row>53</xdr:row>
      <xdr:rowOff>104760</xdr:rowOff>
    </xdr:to>
    <xdr:graphicFrame>
      <xdr:nvGraphicFramePr>
        <xdr:cNvPr id="2" name="Chart 1"/>
        <xdr:cNvGraphicFramePr/>
      </xdr:nvGraphicFramePr>
      <xdr:xfrm>
        <a:off x="211320" y="7610400"/>
        <a:ext cx="7916760" cy="4676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9</xdr:row>
      <xdr:rowOff>0</xdr:rowOff>
    </xdr:from>
    <xdr:to>
      <xdr:col>16</xdr:col>
      <xdr:colOff>444240</xdr:colOff>
      <xdr:row>28</xdr:row>
      <xdr:rowOff>73080</xdr:rowOff>
    </xdr:to>
    <xdr:graphicFrame>
      <xdr:nvGraphicFramePr>
        <xdr:cNvPr id="3" name="Chart 1"/>
        <xdr:cNvGraphicFramePr/>
      </xdr:nvGraphicFramePr>
      <xdr:xfrm>
        <a:off x="5638680" y="2295360"/>
        <a:ext cx="7915680" cy="5035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25</xdr:row>
      <xdr:rowOff>0</xdr:rowOff>
    </xdr:from>
    <xdr:to>
      <xdr:col>6</xdr:col>
      <xdr:colOff>454320</xdr:colOff>
      <xdr:row>51</xdr:row>
      <xdr:rowOff>82800</xdr:rowOff>
    </xdr:to>
    <xdr:graphicFrame>
      <xdr:nvGraphicFramePr>
        <xdr:cNvPr id="4" name="Chart 2"/>
        <xdr:cNvGraphicFramePr/>
      </xdr:nvGraphicFramePr>
      <xdr:xfrm>
        <a:off x="141120" y="6686640"/>
        <a:ext cx="5035680" cy="5035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26</xdr:row>
      <xdr:rowOff>0</xdr:rowOff>
    </xdr:from>
    <xdr:to>
      <xdr:col>7</xdr:col>
      <xdr:colOff>1056240</xdr:colOff>
      <xdr:row>46</xdr:row>
      <xdr:rowOff>200880</xdr:rowOff>
    </xdr:to>
    <xdr:graphicFrame>
      <xdr:nvGraphicFramePr>
        <xdr:cNvPr id="5" name="Chart 1"/>
        <xdr:cNvGraphicFramePr/>
      </xdr:nvGraphicFramePr>
      <xdr:xfrm>
        <a:off x="141120" y="6734160"/>
        <a:ext cx="8366760" cy="4315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21</xdr:row>
      <xdr:rowOff>0</xdr:rowOff>
    </xdr:from>
    <xdr:to>
      <xdr:col>17</xdr:col>
      <xdr:colOff>419400</xdr:colOff>
      <xdr:row>40</xdr:row>
      <xdr:rowOff>141120</xdr:rowOff>
    </xdr:to>
    <xdr:graphicFrame>
      <xdr:nvGraphicFramePr>
        <xdr:cNvPr id="6" name="Chart 1"/>
        <xdr:cNvGraphicFramePr/>
      </xdr:nvGraphicFramePr>
      <xdr:xfrm>
        <a:off x="7248600" y="5495760"/>
        <a:ext cx="6500160" cy="5037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392B"/>
    <pageSetUpPr fitToPage="false"/>
  </sheetPr>
  <dimension ref="B1:H36"/>
  <sheetViews>
    <sheetView showFormulas="false" showGridLines="false" showRowColHeaders="true" showZeros="true" rightToLeft="false" tabSelected="false" showOutlineSymbols="true" defaultGridColor="true" view="normal" topLeftCell="A15" colorId="64" zoomScale="100" zoomScaleNormal="100" zoomScalePageLayoutView="100" workbookViewId="0">
      <selection pane="topLeft" activeCell="C13" activeCellId="0" sqref="C13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2.71"/>
    <col collapsed="false" customWidth="true" hidden="false" outlineLevel="0" max="3" min="3" style="1" width="17.29"/>
    <col collapsed="false" customWidth="true" hidden="false" outlineLevel="0" max="4" min="4" style="1" width="16.57"/>
    <col collapsed="false" customWidth="true" hidden="false" outlineLevel="0" max="5" min="5" style="1" width="37.29"/>
    <col collapsed="false" customWidth="true" hidden="false" outlineLevel="0" max="6" min="6" style="1" width="18"/>
    <col collapsed="false" customWidth="true" hidden="false" outlineLevel="0" max="7" min="7" style="1" width="9.57"/>
  </cols>
  <sheetData>
    <row r="1" customFormat="false" ht="7.5" hidden="false" customHeight="true" outlineLevel="0" collapsed="false">
      <c r="B1" s="2"/>
      <c r="C1" s="2"/>
      <c r="D1" s="2"/>
      <c r="E1" s="2"/>
      <c r="F1" s="2"/>
    </row>
    <row r="2" customFormat="false" ht="51.75" hidden="false" customHeight="true" outlineLevel="0" collapsed="false">
      <c r="B2" s="3" t="s">
        <v>0</v>
      </c>
      <c r="C2" s="3"/>
      <c r="D2" s="3"/>
      <c r="E2" s="3"/>
      <c r="F2" s="3"/>
    </row>
    <row r="3" customFormat="false" ht="19.5" hidden="false" customHeight="true" outlineLevel="0" collapsed="false">
      <c r="B3" s="4" t="s">
        <v>1</v>
      </c>
      <c r="C3" s="4"/>
      <c r="D3" s="4"/>
      <c r="E3" s="4"/>
      <c r="F3" s="4"/>
    </row>
    <row r="4" customFormat="false" ht="7.5" hidden="false" customHeight="true" outlineLevel="0" collapsed="false"/>
    <row r="5" customFormat="false" ht="13.5" hidden="false" customHeight="true" outlineLevel="0" collapsed="false">
      <c r="B5" s="5"/>
      <c r="C5" s="6"/>
      <c r="D5" s="5"/>
      <c r="E5" s="5"/>
    </row>
    <row r="6" customFormat="false" ht="30" hidden="false" customHeight="true" outlineLevel="0" collapsed="false">
      <c r="B6" s="7" t="s">
        <v>2</v>
      </c>
      <c r="C6" s="8" t="s">
        <v>3</v>
      </c>
      <c r="D6" s="7" t="s">
        <v>4</v>
      </c>
      <c r="E6" s="7" t="s">
        <v>5</v>
      </c>
    </row>
    <row r="7" customFormat="false" ht="36" hidden="false" customHeight="true" outlineLevel="0" collapsed="false">
      <c r="B7" s="9" t="s">
        <v>6</v>
      </c>
      <c r="C7" s="10" t="s">
        <v>7</v>
      </c>
      <c r="D7" s="9" t="s">
        <v>8</v>
      </c>
      <c r="E7" s="9" t="s">
        <v>9</v>
      </c>
    </row>
    <row r="8" customFormat="false" ht="13.5" hidden="false" customHeight="true" outlineLevel="0" collapsed="false">
      <c r="B8" s="5"/>
      <c r="C8" s="6"/>
      <c r="D8" s="5"/>
      <c r="E8" s="5"/>
    </row>
    <row r="9" customFormat="false" ht="7.5" hidden="false" customHeight="true" outlineLevel="0" collapsed="false"/>
    <row r="10" customFormat="false" ht="27.75" hidden="false" customHeight="true" outlineLevel="0" collapsed="false">
      <c r="B10" s="11" t="s">
        <v>10</v>
      </c>
      <c r="C10" s="11"/>
      <c r="D10" s="11"/>
      <c r="E10" s="11"/>
    </row>
    <row r="11" customFormat="false" ht="21.75" hidden="false" customHeight="true" outlineLevel="0" collapsed="false">
      <c r="B11" s="12" t="s">
        <v>11</v>
      </c>
      <c r="C11" s="12" t="s">
        <v>12</v>
      </c>
      <c r="D11" s="12" t="s">
        <v>13</v>
      </c>
      <c r="E11" s="12" t="s">
        <v>14</v>
      </c>
    </row>
    <row r="12" customFormat="false" ht="21" hidden="false" customHeight="true" outlineLevel="0" collapsed="false">
      <c r="B12" s="13" t="s">
        <v>15</v>
      </c>
      <c r="C12" s="14" t="n">
        <v>6637.7</v>
      </c>
      <c r="D12" s="15" t="n">
        <v>0.304612439102294</v>
      </c>
      <c r="E12" s="16" t="s">
        <v>16</v>
      </c>
      <c r="G12" s="1" t="s">
        <v>17</v>
      </c>
      <c r="H12" s="1" t="n">
        <v>6637.7</v>
      </c>
    </row>
    <row r="13" customFormat="false" ht="21" hidden="false" customHeight="true" outlineLevel="0" collapsed="false">
      <c r="B13" s="17" t="s">
        <v>18</v>
      </c>
      <c r="C13" s="18" t="n">
        <v>4241.39</v>
      </c>
      <c r="D13" s="19" t="n">
        <v>0.194642745692646</v>
      </c>
      <c r="E13" s="16" t="s">
        <v>19</v>
      </c>
      <c r="G13" s="1" t="s">
        <v>20</v>
      </c>
      <c r="H13" s="1" t="n">
        <v>4241.39</v>
      </c>
    </row>
    <row r="14" customFormat="false" ht="21" hidden="false" customHeight="true" outlineLevel="0" collapsed="false">
      <c r="B14" s="13" t="s">
        <v>21</v>
      </c>
      <c r="C14" s="20" t="n">
        <v>2635.75</v>
      </c>
      <c r="D14" s="15" t="n">
        <v>0.120957897519302</v>
      </c>
      <c r="E14" s="21" t="s">
        <v>22</v>
      </c>
      <c r="G14" s="1" t="s">
        <v>23</v>
      </c>
      <c r="H14" s="1" t="n">
        <v>2635.75</v>
      </c>
    </row>
    <row r="15" customFormat="false" ht="21" hidden="false" customHeight="true" outlineLevel="0" collapsed="false">
      <c r="B15" s="17" t="s">
        <v>24</v>
      </c>
      <c r="C15" s="22" t="n">
        <v>1902</v>
      </c>
      <c r="D15" s="19" t="n">
        <v>0.087285182996002</v>
      </c>
      <c r="E15" s="21" t="s">
        <v>25</v>
      </c>
      <c r="G15" s="1" t="s">
        <v>26</v>
      </c>
      <c r="H15" s="1" t="n">
        <v>1902</v>
      </c>
    </row>
    <row r="16" customFormat="false" ht="21" hidden="false" customHeight="true" outlineLevel="0" collapsed="false">
      <c r="B16" s="13" t="s">
        <v>27</v>
      </c>
      <c r="C16" s="14" t="n">
        <v>1579</v>
      </c>
      <c r="D16" s="15" t="n">
        <v>0.0724623049162393</v>
      </c>
      <c r="E16" s="16" t="s">
        <v>28</v>
      </c>
      <c r="G16" s="1" t="s">
        <v>29</v>
      </c>
      <c r="H16" s="1" t="n">
        <v>1579</v>
      </c>
    </row>
    <row r="17" customFormat="false" ht="21" hidden="false" customHeight="true" outlineLevel="0" collapsed="false">
      <c r="B17" s="17" t="s">
        <v>30</v>
      </c>
      <c r="C17" s="22" t="n">
        <v>1200.47</v>
      </c>
      <c r="D17" s="19" t="n">
        <v>0.0550910849796059</v>
      </c>
      <c r="E17" s="23" t="s">
        <v>31</v>
      </c>
      <c r="G17" s="1" t="s">
        <v>32</v>
      </c>
      <c r="H17" s="1" t="n">
        <v>1200.47</v>
      </c>
    </row>
    <row r="18" customFormat="false" ht="21" hidden="false" customHeight="true" outlineLevel="0" collapsed="false">
      <c r="B18" s="13" t="s">
        <v>33</v>
      </c>
      <c r="C18" s="20" t="n">
        <v>892.5</v>
      </c>
      <c r="D18" s="15" t="n">
        <v>0.040957952588818</v>
      </c>
      <c r="E18" s="21" t="s">
        <v>34</v>
      </c>
      <c r="G18" s="1" t="s">
        <v>35</v>
      </c>
      <c r="H18" s="1" t="n">
        <v>892.5</v>
      </c>
    </row>
    <row r="19" customFormat="false" ht="21" hidden="false" customHeight="true" outlineLevel="0" collapsed="false">
      <c r="B19" s="17" t="s">
        <v>36</v>
      </c>
      <c r="C19" s="22" t="n">
        <v>855.35</v>
      </c>
      <c r="D19" s="19" t="n">
        <v>0.0392530921533282</v>
      </c>
      <c r="E19" s="21" t="s">
        <v>37</v>
      </c>
      <c r="G19" s="1" t="s">
        <v>38</v>
      </c>
      <c r="H19" s="1" t="n">
        <v>855.35</v>
      </c>
    </row>
    <row r="20" customFormat="false" ht="21" hidden="false" customHeight="true" outlineLevel="0" collapsed="false">
      <c r="B20" s="13" t="s">
        <v>39</v>
      </c>
      <c r="C20" s="20" t="n">
        <v>850</v>
      </c>
      <c r="D20" s="15" t="n">
        <v>0.0390075738941123</v>
      </c>
      <c r="E20" s="21" t="s">
        <v>40</v>
      </c>
      <c r="G20" s="1" t="s">
        <v>41</v>
      </c>
      <c r="H20" s="1" t="n">
        <v>850</v>
      </c>
    </row>
    <row r="21" customFormat="false" ht="21" hidden="false" customHeight="true" outlineLevel="0" collapsed="false">
      <c r="B21" s="17" t="s">
        <v>42</v>
      </c>
      <c r="C21" s="18" t="n">
        <v>479</v>
      </c>
      <c r="D21" s="19" t="n">
        <v>0.0219819151709174</v>
      </c>
      <c r="E21" s="16" t="s">
        <v>43</v>
      </c>
      <c r="G21" s="1" t="s">
        <v>44</v>
      </c>
      <c r="H21" s="1" t="n">
        <v>479</v>
      </c>
    </row>
    <row r="22" customFormat="false" ht="21" hidden="false" customHeight="true" outlineLevel="0" collapsed="false">
      <c r="B22" s="13" t="s">
        <v>45</v>
      </c>
      <c r="C22" s="14" t="n">
        <v>329</v>
      </c>
      <c r="D22" s="15" t="n">
        <v>0.0150982256601917</v>
      </c>
      <c r="E22" s="24" t="s">
        <v>46</v>
      </c>
      <c r="G22" s="1" t="s">
        <v>47</v>
      </c>
      <c r="H22" s="1" t="n">
        <v>329</v>
      </c>
    </row>
    <row r="23" customFormat="false" ht="21" hidden="false" customHeight="true" outlineLevel="0" collapsed="false">
      <c r="B23" s="17" t="s">
        <v>48</v>
      </c>
      <c r="C23" s="25" t="n">
        <v>161</v>
      </c>
      <c r="D23" s="19" t="n">
        <v>0.00738849340817893</v>
      </c>
      <c r="E23" s="26" t="s">
        <v>49</v>
      </c>
      <c r="G23" s="1" t="s">
        <v>50</v>
      </c>
      <c r="H23" s="1" t="n">
        <v>161</v>
      </c>
    </row>
    <row r="24" customFormat="false" ht="24" hidden="false" customHeight="true" outlineLevel="0" collapsed="false">
      <c r="B24" s="27" t="s">
        <v>51</v>
      </c>
      <c r="C24" s="28" t="n">
        <v>21790.64</v>
      </c>
      <c r="D24" s="29" t="n">
        <v>1</v>
      </c>
      <c r="E24" s="30"/>
    </row>
    <row r="25" customFormat="false" ht="7.5" hidden="false" customHeight="true" outlineLevel="0" collapsed="false"/>
    <row r="26" customFormat="false" ht="27.75" hidden="false" customHeight="true" outlineLevel="0" collapsed="false">
      <c r="B26" s="11" t="s">
        <v>52</v>
      </c>
      <c r="C26" s="11"/>
      <c r="D26" s="11"/>
      <c r="E26" s="11"/>
    </row>
    <row r="27" customFormat="false" ht="21.75" hidden="false" customHeight="true" outlineLevel="0" collapsed="false">
      <c r="B27" s="31" t="s">
        <v>53</v>
      </c>
      <c r="C27" s="31"/>
      <c r="D27" s="31"/>
      <c r="E27" s="31"/>
    </row>
    <row r="28" customFormat="false" ht="27.75" hidden="false" customHeight="true" outlineLevel="0" collapsed="false">
      <c r="B28" s="32" t="s">
        <v>54</v>
      </c>
      <c r="C28" s="32"/>
      <c r="D28" s="32"/>
      <c r="E28" s="32"/>
    </row>
    <row r="29" customFormat="false" ht="21.75" hidden="false" customHeight="true" outlineLevel="0" collapsed="false">
      <c r="B29" s="31" t="s">
        <v>55</v>
      </c>
      <c r="C29" s="31"/>
      <c r="D29" s="31"/>
      <c r="E29" s="31"/>
    </row>
    <row r="30" customFormat="false" ht="27.75" hidden="false" customHeight="true" outlineLevel="0" collapsed="false">
      <c r="B30" s="32" t="s">
        <v>56</v>
      </c>
      <c r="C30" s="32"/>
      <c r="D30" s="32"/>
      <c r="E30" s="32"/>
    </row>
    <row r="31" customFormat="false" ht="21.75" hidden="false" customHeight="true" outlineLevel="0" collapsed="false">
      <c r="B31" s="31" t="s">
        <v>57</v>
      </c>
      <c r="C31" s="31"/>
      <c r="D31" s="31"/>
      <c r="E31" s="31"/>
    </row>
    <row r="32" customFormat="false" ht="27.75" hidden="false" customHeight="true" outlineLevel="0" collapsed="false">
      <c r="B32" s="32" t="s">
        <v>58</v>
      </c>
      <c r="C32" s="32"/>
      <c r="D32" s="32"/>
      <c r="E32" s="32"/>
    </row>
    <row r="33" customFormat="false" ht="21.75" hidden="false" customHeight="true" outlineLevel="0" collapsed="false">
      <c r="B33" s="31" t="s">
        <v>59</v>
      </c>
      <c r="C33" s="31"/>
      <c r="D33" s="31"/>
      <c r="E33" s="31"/>
    </row>
    <row r="34" customFormat="false" ht="27.75" hidden="false" customHeight="true" outlineLevel="0" collapsed="false">
      <c r="B34" s="32" t="s">
        <v>60</v>
      </c>
      <c r="C34" s="32"/>
      <c r="D34" s="32"/>
      <c r="E34" s="32"/>
    </row>
    <row r="35" customFormat="false" ht="21.75" hidden="false" customHeight="true" outlineLevel="0" collapsed="false">
      <c r="B35" s="31" t="s">
        <v>61</v>
      </c>
      <c r="C35" s="31"/>
      <c r="D35" s="31"/>
      <c r="E35" s="31"/>
    </row>
    <row r="36" customFormat="false" ht="27.75" hidden="false" customHeight="true" outlineLevel="0" collapsed="false">
      <c r="B36" s="32" t="s">
        <v>62</v>
      </c>
      <c r="C36" s="32"/>
      <c r="D36" s="32"/>
      <c r="E36" s="32"/>
    </row>
  </sheetData>
  <mergeCells count="15">
    <mergeCell ref="B1:F1"/>
    <mergeCell ref="B2:F2"/>
    <mergeCell ref="B3:F3"/>
    <mergeCell ref="B10:E10"/>
    <mergeCell ref="B26:E26"/>
    <mergeCell ref="B27:E27"/>
    <mergeCell ref="B28:E28"/>
    <mergeCell ref="B29:E29"/>
    <mergeCell ref="B30:E30"/>
    <mergeCell ref="B31:E31"/>
    <mergeCell ref="B32:E32"/>
    <mergeCell ref="B33:E33"/>
    <mergeCell ref="B34:E34"/>
    <mergeCell ref="B35:E35"/>
    <mergeCell ref="B36:E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8449"/>
    <pageSetUpPr fitToPage="false"/>
  </sheetPr>
  <dimension ref="B1:J33"/>
  <sheetViews>
    <sheetView showFormulas="false" showGridLines="false" showRowColHeaders="true" showZeros="true" rightToLeft="false" tabSelected="false" showOutlineSymbols="true" defaultGridColor="true" view="normal" topLeftCell="A2" colorId="64" zoomScale="100" zoomScaleNormal="100" zoomScalePageLayoutView="100" workbookViewId="0">
      <selection pane="topLeft" activeCell="D10" activeCellId="0" sqref="D10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6"/>
    <col collapsed="false" customWidth="true" hidden="false" outlineLevel="0" max="3" min="3" style="1" width="13.29"/>
    <col collapsed="false" customWidth="true" hidden="false" outlineLevel="0" max="4" min="4" style="1" width="22.86"/>
    <col collapsed="false" customWidth="true" hidden="false" outlineLevel="0" max="5" min="5" style="1" width="19.14"/>
    <col collapsed="false" customWidth="true" hidden="false" outlineLevel="0" max="6" min="6" style="1" width="43.42"/>
    <col collapsed="false" customWidth="true" hidden="false" outlineLevel="0" max="7" min="7" style="1" width="3"/>
    <col collapsed="false" customWidth="true" hidden="false" outlineLevel="0" max="8" min="8" style="1" width="19"/>
    <col collapsed="false" customWidth="true" hidden="false" outlineLevel="0" max="9" min="9" style="1" width="6.57"/>
    <col collapsed="false" customWidth="true" hidden="false" outlineLevel="0" max="10" min="10" style="1" width="5.57"/>
  </cols>
  <sheetData>
    <row r="1" customFormat="false" ht="7.5" hidden="false" customHeight="true" outlineLevel="0" collapsed="false"/>
    <row r="2" customFormat="false" ht="51.75" hidden="false" customHeight="true" outlineLevel="0" collapsed="false">
      <c r="B2" s="33" t="s">
        <v>63</v>
      </c>
      <c r="C2" s="33"/>
      <c r="D2" s="33"/>
      <c r="E2" s="33"/>
      <c r="F2" s="33"/>
    </row>
    <row r="3" customFormat="false" ht="19.5" hidden="false" customHeight="true" outlineLevel="0" collapsed="false">
      <c r="B3" s="4" t="s">
        <v>64</v>
      </c>
      <c r="C3" s="4"/>
      <c r="D3" s="4"/>
      <c r="E3" s="4"/>
      <c r="F3" s="4"/>
    </row>
    <row r="4" customFormat="false" ht="7.5" hidden="false" customHeight="true" outlineLevel="0" collapsed="false"/>
    <row r="5" customFormat="false" ht="27.75" hidden="false" customHeight="true" outlineLevel="0" collapsed="false">
      <c r="B5" s="34" t="s">
        <v>65</v>
      </c>
      <c r="C5" s="34"/>
      <c r="D5" s="34"/>
      <c r="E5" s="34"/>
    </row>
    <row r="6" customFormat="false" ht="21.75" hidden="false" customHeight="true" outlineLevel="0" collapsed="false">
      <c r="B6" s="35" t="s">
        <v>11</v>
      </c>
      <c r="C6" s="35" t="s">
        <v>66</v>
      </c>
      <c r="D6" s="35" t="s">
        <v>67</v>
      </c>
      <c r="E6" s="35" t="s">
        <v>68</v>
      </c>
      <c r="H6" s="1" t="s">
        <v>11</v>
      </c>
      <c r="I6" s="1" t="s">
        <v>69</v>
      </c>
      <c r="J6" s="1" t="s">
        <v>70</v>
      </c>
    </row>
    <row r="7" customFormat="false" ht="21.75" hidden="false" customHeight="true" outlineLevel="0" collapsed="false">
      <c r="B7" s="13" t="s">
        <v>71</v>
      </c>
      <c r="C7" s="36" t="n">
        <v>5400</v>
      </c>
      <c r="D7" s="37" t="n">
        <v>4500</v>
      </c>
      <c r="E7" s="38" t="n">
        <v>900</v>
      </c>
      <c r="F7" s="39" t="s">
        <v>72</v>
      </c>
      <c r="H7" s="1" t="s">
        <v>73</v>
      </c>
      <c r="I7" s="1" t="n">
        <v>5400</v>
      </c>
      <c r="J7" s="1" t="n">
        <v>4500</v>
      </c>
    </row>
    <row r="8" customFormat="false" ht="21.75" hidden="false" customHeight="true" outlineLevel="0" collapsed="false">
      <c r="B8" s="17" t="s">
        <v>18</v>
      </c>
      <c r="C8" s="40" t="n">
        <v>3400</v>
      </c>
      <c r="D8" s="41" t="n">
        <v>2800</v>
      </c>
      <c r="E8" s="38" t="n">
        <v>600</v>
      </c>
      <c r="F8" s="42" t="s">
        <v>74</v>
      </c>
      <c r="H8" s="1" t="s">
        <v>18</v>
      </c>
      <c r="I8" s="1" t="n">
        <v>3400</v>
      </c>
      <c r="J8" s="1" t="n">
        <v>2800</v>
      </c>
    </row>
    <row r="9" customFormat="false" ht="21.75" hidden="false" customHeight="true" outlineLevel="0" collapsed="false">
      <c r="B9" s="13" t="s">
        <v>75</v>
      </c>
      <c r="C9" s="36" t="n">
        <v>2100</v>
      </c>
      <c r="D9" s="37" t="n">
        <v>600</v>
      </c>
      <c r="E9" s="38" t="n">
        <v>1500</v>
      </c>
      <c r="F9" s="39" t="s">
        <v>76</v>
      </c>
      <c r="H9" s="1" t="s">
        <v>77</v>
      </c>
      <c r="I9" s="1" t="n">
        <v>2100</v>
      </c>
      <c r="J9" s="1" t="n">
        <v>600</v>
      </c>
    </row>
    <row r="10" customFormat="false" ht="21.75" hidden="false" customHeight="true" outlineLevel="0" collapsed="false">
      <c r="B10" s="17" t="s">
        <v>78</v>
      </c>
      <c r="C10" s="40" t="n">
        <v>1500</v>
      </c>
      <c r="D10" s="41" t="n">
        <v>300</v>
      </c>
      <c r="E10" s="38" t="n">
        <v>1200</v>
      </c>
      <c r="F10" s="42" t="s">
        <v>79</v>
      </c>
      <c r="H10" s="1" t="s">
        <v>80</v>
      </c>
      <c r="I10" s="1" t="n">
        <v>1500</v>
      </c>
      <c r="J10" s="1" t="n">
        <v>300</v>
      </c>
    </row>
    <row r="11" customFormat="false" ht="21.75" hidden="false" customHeight="true" outlineLevel="0" collapsed="false">
      <c r="B11" s="13" t="s">
        <v>81</v>
      </c>
      <c r="C11" s="36" t="n">
        <v>700</v>
      </c>
      <c r="D11" s="37" t="n">
        <v>0</v>
      </c>
      <c r="E11" s="38" t="n">
        <v>700</v>
      </c>
      <c r="F11" s="39" t="s">
        <v>82</v>
      </c>
      <c r="H11" s="1" t="s">
        <v>81</v>
      </c>
      <c r="I11" s="1" t="n">
        <v>700</v>
      </c>
      <c r="J11" s="1" t="n">
        <v>0</v>
      </c>
    </row>
    <row r="12" customFormat="false" ht="21.75" hidden="false" customHeight="true" outlineLevel="0" collapsed="false">
      <c r="B12" s="17" t="s">
        <v>83</v>
      </c>
      <c r="C12" s="43" t="n">
        <v>900</v>
      </c>
      <c r="D12" s="41" t="n">
        <v>900</v>
      </c>
      <c r="E12" s="44"/>
      <c r="F12" s="42" t="s">
        <v>84</v>
      </c>
      <c r="H12" s="1" t="s">
        <v>83</v>
      </c>
      <c r="I12" s="1" t="n">
        <v>900</v>
      </c>
      <c r="J12" s="1" t="n">
        <v>900</v>
      </c>
    </row>
    <row r="13" customFormat="false" ht="21.75" hidden="false" customHeight="true" outlineLevel="0" collapsed="false">
      <c r="B13" s="13" t="s">
        <v>85</v>
      </c>
      <c r="C13" s="45" t="n">
        <v>1200</v>
      </c>
      <c r="D13" s="37" t="n">
        <v>1200</v>
      </c>
      <c r="E13" s="46"/>
      <c r="F13" s="39" t="s">
        <v>86</v>
      </c>
      <c r="H13" s="1" t="s">
        <v>87</v>
      </c>
      <c r="I13" s="1" t="n">
        <v>1200</v>
      </c>
      <c r="J13" s="1" t="n">
        <v>1200</v>
      </c>
    </row>
    <row r="14" customFormat="false" ht="21.75" hidden="false" customHeight="true" outlineLevel="0" collapsed="false">
      <c r="B14" s="17" t="s">
        <v>88</v>
      </c>
      <c r="C14" s="40" t="n">
        <v>700</v>
      </c>
      <c r="D14" s="41" t="n">
        <v>200</v>
      </c>
      <c r="E14" s="38" t="n">
        <v>500</v>
      </c>
      <c r="F14" s="42" t="s">
        <v>89</v>
      </c>
      <c r="H14" s="1" t="s">
        <v>90</v>
      </c>
      <c r="I14" s="1" t="n">
        <v>700</v>
      </c>
      <c r="J14" s="1" t="n">
        <v>200</v>
      </c>
    </row>
    <row r="15" customFormat="false" ht="21.75" hidden="false" customHeight="true" outlineLevel="0" collapsed="false">
      <c r="B15" s="13" t="s">
        <v>91</v>
      </c>
      <c r="C15" s="36" t="n">
        <v>700</v>
      </c>
      <c r="D15" s="37" t="n">
        <v>300</v>
      </c>
      <c r="E15" s="38" t="n">
        <v>400</v>
      </c>
      <c r="F15" s="39" t="s">
        <v>92</v>
      </c>
      <c r="H15" s="1" t="s">
        <v>91</v>
      </c>
      <c r="I15" s="1" t="n">
        <v>700</v>
      </c>
      <c r="J15" s="1" t="n">
        <v>300</v>
      </c>
    </row>
    <row r="16" customFormat="false" ht="21.75" hidden="false" customHeight="true" outlineLevel="0" collapsed="false">
      <c r="B16" s="17" t="s">
        <v>42</v>
      </c>
      <c r="C16" s="40" t="n">
        <v>479</v>
      </c>
      <c r="D16" s="41" t="n">
        <v>399</v>
      </c>
      <c r="E16" s="38" t="n">
        <v>80</v>
      </c>
      <c r="F16" s="42" t="s">
        <v>93</v>
      </c>
      <c r="H16" s="1" t="s">
        <v>94</v>
      </c>
      <c r="I16" s="1" t="n">
        <v>479</v>
      </c>
      <c r="J16" s="1" t="n">
        <v>399</v>
      </c>
    </row>
    <row r="17" customFormat="false" ht="21.75" hidden="false" customHeight="true" outlineLevel="0" collapsed="false">
      <c r="B17" s="13" t="s">
        <v>45</v>
      </c>
      <c r="C17" s="45" t="n">
        <v>329</v>
      </c>
      <c r="D17" s="37" t="n">
        <v>329</v>
      </c>
      <c r="E17" s="46"/>
      <c r="F17" s="39" t="s">
        <v>95</v>
      </c>
      <c r="H17" s="1" t="s">
        <v>45</v>
      </c>
      <c r="I17" s="1" t="n">
        <v>329</v>
      </c>
      <c r="J17" s="1" t="n">
        <v>329</v>
      </c>
    </row>
    <row r="18" customFormat="false" ht="21.75" hidden="false" customHeight="true" outlineLevel="0" collapsed="false">
      <c r="B18" s="17" t="s">
        <v>96</v>
      </c>
      <c r="C18" s="43" t="n">
        <v>161</v>
      </c>
      <c r="D18" s="41" t="n">
        <v>500</v>
      </c>
      <c r="E18" s="47" t="n">
        <v>-339</v>
      </c>
      <c r="F18" s="42" t="s">
        <v>97</v>
      </c>
      <c r="H18" s="1" t="s">
        <v>96</v>
      </c>
      <c r="I18" s="1" t="n">
        <v>161</v>
      </c>
      <c r="J18" s="1" t="n">
        <v>500</v>
      </c>
    </row>
    <row r="19" customFormat="false" ht="21.75" hidden="false" customHeight="true" outlineLevel="0" collapsed="false">
      <c r="B19" s="13" t="s">
        <v>98</v>
      </c>
      <c r="C19" s="45" t="n">
        <v>0</v>
      </c>
      <c r="D19" s="37" t="n">
        <v>500</v>
      </c>
      <c r="E19" s="47" t="n">
        <v>-500</v>
      </c>
      <c r="F19" s="39" t="s">
        <v>99</v>
      </c>
      <c r="H19" s="1" t="s">
        <v>100</v>
      </c>
      <c r="I19" s="1" t="n">
        <v>0</v>
      </c>
      <c r="J19" s="1" t="n">
        <v>500</v>
      </c>
    </row>
    <row r="20" customFormat="false" ht="21.75" hidden="false" customHeight="true" outlineLevel="0" collapsed="false">
      <c r="B20" s="17" t="s">
        <v>101</v>
      </c>
      <c r="C20" s="43" t="n">
        <v>0</v>
      </c>
      <c r="D20" s="41" t="n">
        <v>500</v>
      </c>
      <c r="E20" s="47" t="n">
        <v>-500</v>
      </c>
      <c r="F20" s="42" t="s">
        <v>102</v>
      </c>
      <c r="H20" s="1" t="s">
        <v>103</v>
      </c>
      <c r="I20" s="1" t="n">
        <v>0</v>
      </c>
      <c r="J20" s="1" t="n">
        <v>500</v>
      </c>
    </row>
    <row r="21" customFormat="false" ht="25.5" hidden="false" customHeight="true" outlineLevel="0" collapsed="false">
      <c r="B21" s="27" t="s">
        <v>104</v>
      </c>
      <c r="C21" s="48" t="n">
        <v>17569</v>
      </c>
      <c r="D21" s="48" t="n">
        <v>13028</v>
      </c>
      <c r="E21" s="48" t="n">
        <v>4541</v>
      </c>
      <c r="F21" s="30"/>
    </row>
    <row r="22" customFormat="false" ht="7.5" hidden="false" customHeight="true" outlineLevel="0" collapsed="false"/>
    <row r="23" customFormat="false" ht="21.75" hidden="false" customHeight="true" outlineLevel="0" collapsed="false">
      <c r="B23" s="49" t="s">
        <v>105</v>
      </c>
      <c r="C23" s="49"/>
      <c r="D23" s="41" t="n">
        <v>10000</v>
      </c>
    </row>
    <row r="24" customFormat="false" ht="21.75" hidden="false" customHeight="true" outlineLevel="0" collapsed="false">
      <c r="B24" s="50" t="s">
        <v>106</v>
      </c>
      <c r="C24" s="50"/>
      <c r="D24" s="38" t="n">
        <v>-3028</v>
      </c>
    </row>
    <row r="25" customFormat="false" ht="7.5" hidden="false" customHeight="true" outlineLevel="0" collapsed="false"/>
    <row r="26" customFormat="false" ht="27.75" hidden="false" customHeight="true" outlineLevel="0" collapsed="false">
      <c r="B26" s="51" t="s">
        <v>107</v>
      </c>
      <c r="C26" s="51"/>
      <c r="D26" s="51"/>
      <c r="E26" s="51"/>
    </row>
    <row r="27" customFormat="false" ht="21.75" hidden="false" customHeight="true" outlineLevel="0" collapsed="false">
      <c r="B27" s="12" t="s">
        <v>108</v>
      </c>
      <c r="C27" s="12" t="s">
        <v>109</v>
      </c>
      <c r="D27" s="12" t="s">
        <v>110</v>
      </c>
      <c r="E27" s="12" t="s">
        <v>111</v>
      </c>
    </row>
    <row r="28" customFormat="false" ht="37.5" hidden="false" customHeight="true" outlineLevel="0" collapsed="false">
      <c r="B28" s="52" t="s">
        <v>112</v>
      </c>
      <c r="C28" s="53" t="s">
        <v>113</v>
      </c>
      <c r="D28" s="54" t="s">
        <v>114</v>
      </c>
      <c r="E28" s="55" t="s">
        <v>115</v>
      </c>
    </row>
    <row r="29" customFormat="false" ht="37.5" hidden="false" customHeight="true" outlineLevel="0" collapsed="false">
      <c r="B29" s="56" t="s">
        <v>116</v>
      </c>
      <c r="C29" s="57" t="s">
        <v>113</v>
      </c>
      <c r="D29" s="58" t="s">
        <v>117</v>
      </c>
      <c r="E29" s="59" t="s">
        <v>118</v>
      </c>
    </row>
    <row r="30" customFormat="false" ht="37.5" hidden="false" customHeight="true" outlineLevel="0" collapsed="false">
      <c r="B30" s="52" t="s">
        <v>119</v>
      </c>
      <c r="C30" s="60" t="s">
        <v>120</v>
      </c>
      <c r="D30" s="54" t="s">
        <v>121</v>
      </c>
      <c r="E30" s="55" t="s">
        <v>122</v>
      </c>
    </row>
    <row r="31" customFormat="false" ht="37.5" hidden="false" customHeight="true" outlineLevel="0" collapsed="false">
      <c r="B31" s="56" t="s">
        <v>123</v>
      </c>
      <c r="C31" s="61" t="s">
        <v>120</v>
      </c>
      <c r="D31" s="58" t="s">
        <v>124</v>
      </c>
      <c r="E31" s="59" t="s">
        <v>125</v>
      </c>
    </row>
    <row r="32" customFormat="false" ht="37.5" hidden="false" customHeight="true" outlineLevel="0" collapsed="false">
      <c r="B32" s="52" t="s">
        <v>126</v>
      </c>
      <c r="C32" s="62" t="s">
        <v>127</v>
      </c>
      <c r="D32" s="54" t="s">
        <v>128</v>
      </c>
      <c r="E32" s="55" t="s">
        <v>129</v>
      </c>
    </row>
    <row r="33" customFormat="false" ht="37.5" hidden="false" customHeight="true" outlineLevel="0" collapsed="false">
      <c r="B33" s="56" t="s">
        <v>130</v>
      </c>
      <c r="C33" s="63" t="s">
        <v>127</v>
      </c>
      <c r="D33" s="58" t="s">
        <v>131</v>
      </c>
      <c r="E33" s="59" t="s">
        <v>132</v>
      </c>
    </row>
  </sheetData>
  <mergeCells count="6">
    <mergeCell ref="B2:F2"/>
    <mergeCell ref="B3:F3"/>
    <mergeCell ref="B5:E5"/>
    <mergeCell ref="B23:C23"/>
    <mergeCell ref="B24:C24"/>
    <mergeCell ref="B26:E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7377"/>
    <pageSetUpPr fitToPage="false"/>
  </sheetPr>
  <dimension ref="B1:L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4" topLeftCell="C15" activePane="bottomRight" state="frozen"/>
      <selection pane="topLeft" activeCell="A1" activeCellId="0" sqref="A1"/>
      <selection pane="topRight" activeCell="C1" activeCellId="0" sqref="C1"/>
      <selection pane="bottomLeft" activeCell="A15" activeCellId="0" sqref="A15"/>
      <selection pane="bottomRigh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6"/>
    <col collapsed="false" customWidth="true" hidden="false" outlineLevel="0" max="8" min="3" style="1" width="15"/>
    <col collapsed="false" customWidth="true" hidden="false" outlineLevel="0" max="9" min="9" style="1" width="3"/>
  </cols>
  <sheetData>
    <row r="1" customFormat="false" ht="7.5" hidden="false" customHeight="true" outlineLevel="0" collapsed="false"/>
    <row r="2" customFormat="false" ht="48" hidden="false" customHeight="true" outlineLevel="0" collapsed="false">
      <c r="B2" s="64" t="s">
        <v>133</v>
      </c>
      <c r="C2" s="64"/>
      <c r="D2" s="64"/>
      <c r="E2" s="64"/>
      <c r="F2" s="64"/>
      <c r="G2" s="64"/>
      <c r="H2" s="64"/>
    </row>
    <row r="3" customFormat="false" ht="7.5" hidden="false" customHeight="true" outlineLevel="0" collapsed="false"/>
    <row r="4" customFormat="false" ht="27.75" hidden="false" customHeight="true" outlineLevel="0" collapsed="false">
      <c r="B4" s="65" t="s">
        <v>134</v>
      </c>
      <c r="C4" s="65"/>
      <c r="D4" s="65"/>
    </row>
    <row r="5" customFormat="false" ht="21.75" hidden="false" customHeight="true" outlineLevel="0" collapsed="false">
      <c r="B5" s="66" t="s">
        <v>135</v>
      </c>
      <c r="C5" s="67" t="n">
        <v>9115.16</v>
      </c>
    </row>
    <row r="6" customFormat="false" ht="21.75" hidden="false" customHeight="true" outlineLevel="0" collapsed="false">
      <c r="B6" s="68" t="s">
        <v>136</v>
      </c>
      <c r="C6" s="69" t="n">
        <v>500</v>
      </c>
    </row>
    <row r="7" customFormat="false" ht="21.75" hidden="false" customHeight="true" outlineLevel="0" collapsed="false">
      <c r="B7" s="66" t="s">
        <v>137</v>
      </c>
      <c r="C7" s="70" t="n">
        <v>0.5806</v>
      </c>
    </row>
    <row r="8" customFormat="false" ht="21.75" hidden="false" customHeight="true" outlineLevel="0" collapsed="false">
      <c r="B8" s="68" t="s">
        <v>138</v>
      </c>
      <c r="C8" s="69" t="n">
        <v>500</v>
      </c>
    </row>
    <row r="9" customFormat="false" ht="21.75" hidden="false" customHeight="true" outlineLevel="0" collapsed="false">
      <c r="B9" s="66" t="s">
        <v>139</v>
      </c>
      <c r="C9" s="67" t="n">
        <v>500</v>
      </c>
    </row>
    <row r="10" customFormat="false" ht="21.75" hidden="false" customHeight="true" outlineLevel="0" collapsed="false">
      <c r="B10" s="68" t="s">
        <v>140</v>
      </c>
      <c r="C10" s="71" t="n">
        <v>0.1</v>
      </c>
    </row>
    <row r="12" customFormat="false" ht="7.5" hidden="false" customHeight="true" outlineLevel="0" collapsed="false"/>
    <row r="13" customFormat="false" ht="27.75" hidden="false" customHeight="true" outlineLevel="0" collapsed="false">
      <c r="B13" s="72" t="s">
        <v>141</v>
      </c>
      <c r="C13" s="72"/>
      <c r="D13" s="72"/>
      <c r="E13" s="72"/>
      <c r="F13" s="72"/>
      <c r="G13" s="72"/>
      <c r="I13" s="1" t="s">
        <v>108</v>
      </c>
      <c r="J13" s="1" t="s">
        <v>142</v>
      </c>
      <c r="K13" s="1" t="s">
        <v>143</v>
      </c>
      <c r="L13" s="1" t="s">
        <v>144</v>
      </c>
    </row>
    <row r="14" customFormat="false" ht="24" hidden="false" customHeight="true" outlineLevel="0" collapsed="false">
      <c r="B14" s="73" t="s">
        <v>108</v>
      </c>
      <c r="C14" s="73" t="s">
        <v>145</v>
      </c>
      <c r="D14" s="73" t="s">
        <v>146</v>
      </c>
      <c r="E14" s="73" t="s">
        <v>147</v>
      </c>
      <c r="F14" s="73" t="s">
        <v>148</v>
      </c>
      <c r="G14" s="73" t="s">
        <v>149</v>
      </c>
      <c r="I14" s="1" t="s">
        <v>150</v>
      </c>
      <c r="J14" s="1" t="n">
        <v>9056.18</v>
      </c>
      <c r="K14" s="1" t="n">
        <v>500</v>
      </c>
      <c r="L14" s="1" t="n">
        <v>500</v>
      </c>
    </row>
    <row r="15" customFormat="false" ht="21" hidden="false" customHeight="true" outlineLevel="0" collapsed="false">
      <c r="B15" s="74" t="s">
        <v>150</v>
      </c>
      <c r="C15" s="75" t="n">
        <v>9056.18</v>
      </c>
      <c r="D15" s="76" t="n">
        <v>441.02</v>
      </c>
      <c r="E15" s="77" t="n">
        <v>500</v>
      </c>
      <c r="F15" s="78" t="n">
        <v>500</v>
      </c>
      <c r="G15" s="78" t="n">
        <v>500</v>
      </c>
      <c r="I15" s="1" t="s">
        <v>151</v>
      </c>
      <c r="J15" s="1" t="n">
        <v>8994.35</v>
      </c>
      <c r="K15" s="1" t="n">
        <v>1000</v>
      </c>
      <c r="L15" s="1" t="n">
        <v>1004.17</v>
      </c>
    </row>
    <row r="16" customFormat="false" ht="21" hidden="false" customHeight="true" outlineLevel="0" collapsed="false">
      <c r="B16" s="79" t="s">
        <v>151</v>
      </c>
      <c r="C16" s="80" t="n">
        <v>8994.35</v>
      </c>
      <c r="D16" s="81" t="n">
        <v>438.17</v>
      </c>
      <c r="E16" s="82" t="n">
        <v>500</v>
      </c>
      <c r="F16" s="83" t="n">
        <v>1000</v>
      </c>
      <c r="G16" s="83" t="n">
        <v>1004.17</v>
      </c>
      <c r="I16" s="1" t="s">
        <v>152</v>
      </c>
      <c r="J16" s="1" t="n">
        <v>8929.53</v>
      </c>
      <c r="K16" s="1" t="n">
        <v>1500</v>
      </c>
      <c r="L16" s="1" t="n">
        <v>1512.53</v>
      </c>
    </row>
    <row r="17" customFormat="false" ht="21" hidden="false" customHeight="true" outlineLevel="0" collapsed="false">
      <c r="B17" s="74" t="s">
        <v>152</v>
      </c>
      <c r="C17" s="75" t="n">
        <v>8929.53</v>
      </c>
      <c r="D17" s="76" t="n">
        <v>435.18</v>
      </c>
      <c r="E17" s="77" t="n">
        <v>500</v>
      </c>
      <c r="F17" s="78" t="n">
        <v>1500</v>
      </c>
      <c r="G17" s="78" t="n">
        <v>1512.53</v>
      </c>
      <c r="I17" s="1" t="s">
        <v>153</v>
      </c>
      <c r="J17" s="1" t="n">
        <v>8861.57</v>
      </c>
      <c r="K17" s="1" t="n">
        <v>2000</v>
      </c>
      <c r="L17" s="1" t="n">
        <v>2025.14</v>
      </c>
    </row>
    <row r="18" customFormat="false" ht="21" hidden="false" customHeight="true" outlineLevel="0" collapsed="false">
      <c r="B18" s="79" t="s">
        <v>153</v>
      </c>
      <c r="C18" s="80" t="n">
        <v>8861.57</v>
      </c>
      <c r="D18" s="81" t="n">
        <v>432.04</v>
      </c>
      <c r="E18" s="82" t="n">
        <v>500</v>
      </c>
      <c r="F18" s="83" t="n">
        <v>2000</v>
      </c>
      <c r="G18" s="83" t="n">
        <v>2025.14</v>
      </c>
      <c r="I18" s="1" t="s">
        <v>154</v>
      </c>
      <c r="J18" s="1" t="n">
        <v>8790.32</v>
      </c>
      <c r="K18" s="1" t="n">
        <v>2500</v>
      </c>
      <c r="L18" s="1" t="n">
        <v>2542.02</v>
      </c>
    </row>
    <row r="19" customFormat="false" ht="21" hidden="false" customHeight="true" outlineLevel="0" collapsed="false">
      <c r="B19" s="74" t="s">
        <v>154</v>
      </c>
      <c r="C19" s="75" t="n">
        <v>8790.32</v>
      </c>
      <c r="D19" s="76" t="n">
        <v>428.75</v>
      </c>
      <c r="E19" s="77" t="n">
        <v>500</v>
      </c>
      <c r="F19" s="78" t="n">
        <v>2500</v>
      </c>
      <c r="G19" s="78" t="n">
        <v>2542.02</v>
      </c>
      <c r="I19" s="1" t="s">
        <v>155</v>
      </c>
      <c r="J19" s="1" t="n">
        <v>8715.62</v>
      </c>
      <c r="K19" s="1" t="n">
        <v>3000</v>
      </c>
      <c r="L19" s="1" t="n">
        <v>3063.2</v>
      </c>
    </row>
    <row r="20" customFormat="false" ht="21" hidden="false" customHeight="true" outlineLevel="0" collapsed="false">
      <c r="B20" s="79" t="s">
        <v>155</v>
      </c>
      <c r="C20" s="80" t="n">
        <v>8715.62</v>
      </c>
      <c r="D20" s="81" t="n">
        <v>425.3</v>
      </c>
      <c r="E20" s="82" t="n">
        <v>500</v>
      </c>
      <c r="F20" s="83" t="n">
        <v>3000</v>
      </c>
      <c r="G20" s="83" t="n">
        <v>3063.2</v>
      </c>
      <c r="I20" s="1" t="s">
        <v>156</v>
      </c>
      <c r="J20" s="1" t="n">
        <v>8637.32</v>
      </c>
      <c r="K20" s="1" t="n">
        <v>3500</v>
      </c>
      <c r="L20" s="1" t="n">
        <v>3588.73</v>
      </c>
    </row>
    <row r="21" customFormat="false" ht="21" hidden="false" customHeight="true" outlineLevel="0" collapsed="false">
      <c r="B21" s="74" t="s">
        <v>156</v>
      </c>
      <c r="C21" s="75" t="n">
        <v>8637.32</v>
      </c>
      <c r="D21" s="76" t="n">
        <v>421.69</v>
      </c>
      <c r="E21" s="77" t="n">
        <v>500</v>
      </c>
      <c r="F21" s="78" t="n">
        <v>3500</v>
      </c>
      <c r="G21" s="78" t="n">
        <v>3588.73</v>
      </c>
      <c r="I21" s="1" t="s">
        <v>157</v>
      </c>
      <c r="J21" s="1" t="n">
        <v>8555.22</v>
      </c>
      <c r="K21" s="1" t="n">
        <v>4000</v>
      </c>
      <c r="L21" s="1" t="n">
        <v>4118.63</v>
      </c>
    </row>
    <row r="22" customFormat="false" ht="21" hidden="false" customHeight="true" outlineLevel="0" collapsed="false">
      <c r="B22" s="79" t="s">
        <v>157</v>
      </c>
      <c r="C22" s="80" t="n">
        <v>8555.22</v>
      </c>
      <c r="D22" s="81" t="n">
        <v>417.9</v>
      </c>
      <c r="E22" s="82" t="n">
        <v>500</v>
      </c>
      <c r="F22" s="83" t="n">
        <v>4000</v>
      </c>
      <c r="G22" s="83" t="n">
        <v>4118.63</v>
      </c>
      <c r="I22" s="1" t="s">
        <v>158</v>
      </c>
      <c r="J22" s="1" t="n">
        <v>8469.15</v>
      </c>
      <c r="K22" s="1" t="n">
        <v>4500</v>
      </c>
      <c r="L22" s="1" t="n">
        <v>4652.95</v>
      </c>
    </row>
    <row r="23" customFormat="false" ht="21" hidden="false" customHeight="true" outlineLevel="0" collapsed="false">
      <c r="B23" s="74" t="s">
        <v>158</v>
      </c>
      <c r="C23" s="75" t="n">
        <v>8469.15</v>
      </c>
      <c r="D23" s="76" t="n">
        <v>413.93</v>
      </c>
      <c r="E23" s="77" t="n">
        <v>500</v>
      </c>
      <c r="F23" s="78" t="n">
        <v>4500</v>
      </c>
      <c r="G23" s="78" t="n">
        <v>4652.95</v>
      </c>
      <c r="I23" s="1" t="s">
        <v>159</v>
      </c>
      <c r="J23" s="1" t="n">
        <v>8378.91</v>
      </c>
      <c r="K23" s="1" t="n">
        <v>5000</v>
      </c>
      <c r="L23" s="1" t="n">
        <v>5191.73</v>
      </c>
    </row>
    <row r="24" customFormat="false" ht="21" hidden="false" customHeight="true" outlineLevel="0" collapsed="false">
      <c r="B24" s="79" t="s">
        <v>159</v>
      </c>
      <c r="C24" s="80" t="n">
        <v>8378.91</v>
      </c>
      <c r="D24" s="81" t="n">
        <v>409.77</v>
      </c>
      <c r="E24" s="82" t="n">
        <v>500</v>
      </c>
      <c r="F24" s="83" t="n">
        <v>5000</v>
      </c>
      <c r="G24" s="83" t="n">
        <v>5191.73</v>
      </c>
      <c r="I24" s="1" t="s">
        <v>160</v>
      </c>
      <c r="J24" s="1" t="n">
        <v>8284.31</v>
      </c>
      <c r="K24" s="1" t="n">
        <v>5500</v>
      </c>
      <c r="L24" s="1" t="n">
        <v>5734.99</v>
      </c>
    </row>
    <row r="25" customFormat="false" ht="21" hidden="false" customHeight="true" outlineLevel="0" collapsed="false">
      <c r="B25" s="74" t="s">
        <v>160</v>
      </c>
      <c r="C25" s="75" t="n">
        <v>8284.31</v>
      </c>
      <c r="D25" s="76" t="n">
        <v>405.4</v>
      </c>
      <c r="E25" s="77" t="n">
        <v>500</v>
      </c>
      <c r="F25" s="78" t="n">
        <v>5500</v>
      </c>
      <c r="G25" s="78" t="n">
        <v>5734.99</v>
      </c>
      <c r="I25" s="1" t="s">
        <v>161</v>
      </c>
      <c r="J25" s="1" t="n">
        <v>8185.13</v>
      </c>
      <c r="K25" s="1" t="n">
        <v>6000</v>
      </c>
      <c r="L25" s="1" t="n">
        <v>6282.78</v>
      </c>
    </row>
    <row r="26" customFormat="false" ht="21" hidden="false" customHeight="true" outlineLevel="0" collapsed="false">
      <c r="B26" s="79" t="s">
        <v>161</v>
      </c>
      <c r="C26" s="80" t="n">
        <v>8185.13</v>
      </c>
      <c r="D26" s="81" t="n">
        <v>400.82</v>
      </c>
      <c r="E26" s="82" t="n">
        <v>500</v>
      </c>
      <c r="F26" s="83" t="n">
        <v>6000</v>
      </c>
      <c r="G26" s="83" t="n">
        <v>6282.78</v>
      </c>
    </row>
    <row r="28" customFormat="false" ht="21.75" hidden="false" customHeight="true" outlineLevel="0" collapsed="false">
      <c r="B28" s="84" t="s">
        <v>162</v>
      </c>
      <c r="C28" s="84"/>
      <c r="D28" s="84"/>
      <c r="E28" s="84"/>
      <c r="F28" s="84"/>
      <c r="G28" s="84"/>
    </row>
  </sheetData>
  <mergeCells count="4">
    <mergeCell ref="B2:H2"/>
    <mergeCell ref="B4:D4"/>
    <mergeCell ref="B13:G13"/>
    <mergeCell ref="B28:G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3A5F"/>
    <pageSetUpPr fitToPage="false"/>
  </sheetPr>
  <dimension ref="B1:H37"/>
  <sheetViews>
    <sheetView showFormulas="false" showGridLines="false" showRowColHeaders="true" showZeros="true" rightToLeft="false" tabSelected="false" showOutlineSymbols="true" defaultGridColor="true" view="normal" topLeftCell="A5" colorId="64" zoomScale="100" zoomScaleNormal="100" zoomScalePageLayoutView="100" workbookViewId="0">
      <selection pane="topLeft" activeCell="C31" activeCellId="0" sqref="C3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5.71"/>
    <col collapsed="false" customWidth="true" hidden="false" outlineLevel="0" max="3" min="3" style="1" width="23.29"/>
    <col collapsed="false" customWidth="true" hidden="false" outlineLevel="0" max="6" min="4" style="1" width="20"/>
    <col collapsed="false" customWidth="true" hidden="false" outlineLevel="0" max="7" min="7" style="1" width="3"/>
    <col collapsed="false" customWidth="true" hidden="false" outlineLevel="0" max="8" min="8" style="1" width="15.71"/>
  </cols>
  <sheetData>
    <row r="1" customFormat="false" ht="9.75" hidden="false" customHeight="true" outlineLevel="0" collapsed="false"/>
    <row r="2" customFormat="false" ht="45" hidden="false" customHeight="true" outlineLevel="0" collapsed="false">
      <c r="B2" s="85" t="s">
        <v>163</v>
      </c>
      <c r="C2" s="85"/>
      <c r="D2" s="85"/>
      <c r="E2" s="85"/>
      <c r="F2" s="85"/>
      <c r="H2" s="1" t="s">
        <v>164</v>
      </c>
    </row>
    <row r="3" customFormat="false" ht="15" hidden="false" customHeight="true" outlineLevel="0" collapsed="false">
      <c r="B3" s="86" t="s">
        <v>165</v>
      </c>
      <c r="C3" s="86"/>
      <c r="D3" s="86"/>
      <c r="E3" s="86"/>
      <c r="F3" s="86"/>
      <c r="H3" s="1" t="s">
        <v>166</v>
      </c>
    </row>
    <row r="4" customFormat="false" ht="12" hidden="false" customHeight="true" outlineLevel="0" collapsed="false">
      <c r="H4" s="1" t="s">
        <v>167</v>
      </c>
    </row>
    <row r="5" customFormat="false" ht="27.75" hidden="false" customHeight="true" outlineLevel="0" collapsed="false">
      <c r="B5" s="87" t="s">
        <v>168</v>
      </c>
      <c r="C5" s="87"/>
      <c r="D5" s="87"/>
      <c r="E5" s="87"/>
      <c r="H5" s="1" t="s">
        <v>169</v>
      </c>
    </row>
    <row r="6" customFormat="false" ht="24" hidden="false" customHeight="true" outlineLevel="0" collapsed="false">
      <c r="B6" s="88" t="s">
        <v>170</v>
      </c>
      <c r="C6" s="67" t="n">
        <v>15500</v>
      </c>
      <c r="H6" s="1" t="s">
        <v>171</v>
      </c>
    </row>
    <row r="7" customFormat="false" ht="24" hidden="false" customHeight="true" outlineLevel="0" collapsed="false">
      <c r="B7" s="68" t="s">
        <v>172</v>
      </c>
      <c r="C7" s="81" t="n">
        <f aca="false">C6*2</f>
        <v>31000</v>
      </c>
      <c r="H7" s="1" t="s">
        <v>29</v>
      </c>
    </row>
    <row r="8" customFormat="false" ht="24" hidden="false" customHeight="true" outlineLevel="0" collapsed="false">
      <c r="B8" s="66" t="s">
        <v>173</v>
      </c>
      <c r="C8" s="89" t="n">
        <v>0.1</v>
      </c>
      <c r="H8" s="1" t="s">
        <v>174</v>
      </c>
    </row>
    <row r="9" customFormat="false" ht="24" hidden="false" customHeight="true" outlineLevel="0" collapsed="false">
      <c r="B9" s="68" t="s">
        <v>175</v>
      </c>
      <c r="C9" s="90" t="n">
        <v>0.05</v>
      </c>
      <c r="H9" s="1" t="s">
        <v>176</v>
      </c>
    </row>
    <row r="10" customFormat="false" ht="24" hidden="false" customHeight="true" outlineLevel="0" collapsed="false">
      <c r="B10" s="66" t="s">
        <v>177</v>
      </c>
      <c r="C10" s="91" t="n">
        <v>3</v>
      </c>
      <c r="H10" s="1" t="s">
        <v>178</v>
      </c>
    </row>
    <row r="11" customFormat="false" ht="12" hidden="false" customHeight="true" outlineLevel="0" collapsed="false">
      <c r="H11" s="1" t="s">
        <v>179</v>
      </c>
    </row>
    <row r="12" customFormat="false" ht="27.75" hidden="false" customHeight="true" outlineLevel="0" collapsed="false">
      <c r="B12" s="92" t="s">
        <v>180</v>
      </c>
      <c r="C12" s="92"/>
      <c r="D12" s="92"/>
      <c r="E12" s="92"/>
      <c r="H12" s="1" t="s">
        <v>143</v>
      </c>
    </row>
    <row r="13" customFormat="false" ht="21.75" hidden="false" customHeight="true" outlineLevel="0" collapsed="false">
      <c r="B13" s="35" t="s">
        <v>11</v>
      </c>
      <c r="C13" s="35" t="s">
        <v>181</v>
      </c>
      <c r="D13" s="35" t="s">
        <v>182</v>
      </c>
      <c r="E13" s="35" t="s">
        <v>183</v>
      </c>
      <c r="H13" s="1" t="s">
        <v>144</v>
      </c>
    </row>
    <row r="14" customFormat="false" ht="21.75" hidden="false" customHeight="true" outlineLevel="0" collapsed="false">
      <c r="B14" s="66" t="s">
        <v>184</v>
      </c>
      <c r="C14" s="67" t="n">
        <v>1000</v>
      </c>
      <c r="D14" s="76" t="n">
        <f aca="false">C14/2</f>
        <v>500</v>
      </c>
      <c r="E14" s="93" t="s">
        <v>164</v>
      </c>
      <c r="H14" s="1" t="s">
        <v>185</v>
      </c>
    </row>
    <row r="15" customFormat="false" ht="21.75" hidden="false" customHeight="true" outlineLevel="0" collapsed="false">
      <c r="B15" s="68" t="s">
        <v>186</v>
      </c>
      <c r="C15" s="69" t="n">
        <v>249</v>
      </c>
      <c r="D15" s="81" t="n">
        <f aca="false">C15/2</f>
        <v>124.5</v>
      </c>
      <c r="E15" s="94" t="s">
        <v>164</v>
      </c>
    </row>
    <row r="16" customFormat="false" ht="21.75" hidden="false" customHeight="true" outlineLevel="0" collapsed="false">
      <c r="B16" s="66" t="s">
        <v>187</v>
      </c>
      <c r="C16" s="67" t="n">
        <v>430</v>
      </c>
      <c r="D16" s="76" t="n">
        <f aca="false">C16/2</f>
        <v>215</v>
      </c>
      <c r="E16" s="93" t="s">
        <v>164</v>
      </c>
    </row>
    <row r="17" customFormat="false" ht="21.75" hidden="false" customHeight="true" outlineLevel="0" collapsed="false">
      <c r="B17" s="68" t="s">
        <v>188</v>
      </c>
      <c r="C17" s="69" t="n">
        <v>4000</v>
      </c>
      <c r="D17" s="81" t="n">
        <f aca="false">C17/2</f>
        <v>2000</v>
      </c>
      <c r="E17" s="94" t="s">
        <v>166</v>
      </c>
    </row>
    <row r="18" customFormat="false" ht="21.75" hidden="false" customHeight="true" outlineLevel="0" collapsed="false">
      <c r="B18" s="66" t="s">
        <v>20</v>
      </c>
      <c r="C18" s="67" t="n">
        <v>2000</v>
      </c>
      <c r="D18" s="76" t="n">
        <f aca="false">C18/2</f>
        <v>1000</v>
      </c>
      <c r="E18" s="93" t="s">
        <v>167</v>
      </c>
    </row>
    <row r="19" customFormat="false" ht="21.75" hidden="false" customHeight="true" outlineLevel="0" collapsed="false">
      <c r="B19" s="68" t="s">
        <v>189</v>
      </c>
      <c r="C19" s="69" t="n">
        <v>1000</v>
      </c>
      <c r="D19" s="81" t="n">
        <f aca="false">C19/2</f>
        <v>500</v>
      </c>
      <c r="E19" s="94" t="s">
        <v>169</v>
      </c>
    </row>
    <row r="20" customFormat="false" ht="21.75" hidden="false" customHeight="true" outlineLevel="0" collapsed="false">
      <c r="B20" s="66" t="s">
        <v>190</v>
      </c>
      <c r="C20" s="67" t="n">
        <v>80</v>
      </c>
      <c r="D20" s="76" t="n">
        <f aca="false">C20/2</f>
        <v>40</v>
      </c>
      <c r="E20" s="93" t="s">
        <v>164</v>
      </c>
    </row>
    <row r="21" customFormat="false" ht="21.75" hidden="false" customHeight="true" outlineLevel="0" collapsed="false">
      <c r="B21" s="68" t="s">
        <v>191</v>
      </c>
      <c r="C21" s="69" t="n">
        <v>700</v>
      </c>
      <c r="D21" s="81" t="n">
        <f aca="false">C21/2</f>
        <v>350</v>
      </c>
      <c r="E21" s="94" t="s">
        <v>29</v>
      </c>
    </row>
    <row r="22" customFormat="false" ht="21.75" hidden="false" customHeight="true" outlineLevel="0" collapsed="false">
      <c r="B22" s="66" t="s">
        <v>44</v>
      </c>
      <c r="C22" s="67" t="n">
        <v>720</v>
      </c>
      <c r="D22" s="76" t="n">
        <f aca="false">C22/2</f>
        <v>360</v>
      </c>
      <c r="E22" s="93" t="s">
        <v>176</v>
      </c>
    </row>
    <row r="23" customFormat="false" ht="21.75" hidden="false" customHeight="true" outlineLevel="0" collapsed="false">
      <c r="B23" s="68" t="s">
        <v>192</v>
      </c>
      <c r="C23" s="69" t="n">
        <v>349</v>
      </c>
      <c r="D23" s="81" t="n">
        <f aca="false">C23/2</f>
        <v>174.5</v>
      </c>
      <c r="E23" s="94" t="s">
        <v>174</v>
      </c>
    </row>
    <row r="24" customFormat="false" ht="21.75" hidden="false" customHeight="true" outlineLevel="0" collapsed="false">
      <c r="B24" s="66" t="s">
        <v>193</v>
      </c>
      <c r="C24" s="67" t="n">
        <v>5000</v>
      </c>
      <c r="D24" s="76" t="n">
        <f aca="false">C24/2</f>
        <v>2500</v>
      </c>
      <c r="E24" s="93" t="s">
        <v>171</v>
      </c>
    </row>
    <row r="25" customFormat="false" ht="21.75" hidden="false" customHeight="true" outlineLevel="0" collapsed="false">
      <c r="B25" s="68" t="s">
        <v>194</v>
      </c>
      <c r="C25" s="69" t="n">
        <v>1800</v>
      </c>
      <c r="D25" s="81" t="n">
        <f aca="false">C25/2</f>
        <v>900</v>
      </c>
      <c r="E25" s="94" t="s">
        <v>185</v>
      </c>
    </row>
    <row r="26" customFormat="false" ht="25.5" hidden="false" customHeight="true" outlineLevel="0" collapsed="false">
      <c r="B26" s="27" t="s">
        <v>195</v>
      </c>
      <c r="C26" s="28" t="n">
        <f aca="false">SUM(C14:C25)</f>
        <v>17328</v>
      </c>
      <c r="D26" s="28" t="n">
        <f aca="false">SUM(D14:D25)</f>
        <v>8664</v>
      </c>
    </row>
    <row r="28" customFormat="false" ht="9.75" hidden="false" customHeight="true" outlineLevel="0" collapsed="false"/>
    <row r="29" customFormat="false" ht="27.75" hidden="false" customHeight="true" outlineLevel="0" collapsed="false">
      <c r="B29" s="95" t="s">
        <v>196</v>
      </c>
      <c r="C29" s="95"/>
      <c r="D29" s="95"/>
      <c r="E29" s="95"/>
    </row>
    <row r="30" customFormat="false" ht="24" hidden="false" customHeight="true" outlineLevel="0" collapsed="false">
      <c r="B30" s="66" t="s">
        <v>197</v>
      </c>
      <c r="C30" s="76" t="n">
        <f aca="false">C7</f>
        <v>31000</v>
      </c>
    </row>
    <row r="31" customFormat="false" ht="24" hidden="false" customHeight="true" outlineLevel="0" collapsed="false">
      <c r="B31" s="68" t="s">
        <v>198</v>
      </c>
      <c r="C31" s="81" t="n">
        <f aca="false">-C26</f>
        <v>-17328</v>
      </c>
    </row>
    <row r="32" customFormat="false" ht="24" hidden="false" customHeight="true" outlineLevel="0" collapsed="false">
      <c r="B32" s="66" t="s">
        <v>199</v>
      </c>
      <c r="C32" s="76" t="n">
        <f aca="false">-C7*C8</f>
        <v>-3100</v>
      </c>
    </row>
    <row r="33" customFormat="false" ht="24" hidden="false" customHeight="true" outlineLevel="0" collapsed="false">
      <c r="B33" s="68" t="s">
        <v>200</v>
      </c>
      <c r="C33" s="81" t="n">
        <f aca="false">-C7*C9</f>
        <v>-1550</v>
      </c>
    </row>
    <row r="34" customFormat="false" ht="24" hidden="false" customHeight="true" outlineLevel="0" collapsed="false">
      <c r="B34" s="96" t="s">
        <v>201</v>
      </c>
      <c r="C34" s="97" t="n">
        <f aca="false">C7-C26-C7*C8-C7*C9</f>
        <v>9022</v>
      </c>
    </row>
    <row r="35" customFormat="false" ht="24" hidden="false" customHeight="true" outlineLevel="0" collapsed="false">
      <c r="B35" s="68" t="s">
        <v>202</v>
      </c>
      <c r="C35" s="81" t="n">
        <f aca="false">C26*C10</f>
        <v>51984</v>
      </c>
    </row>
    <row r="37" customFormat="false" ht="18" hidden="false" customHeight="true" outlineLevel="0" collapsed="false">
      <c r="B37" s="98" t="s">
        <v>203</v>
      </c>
      <c r="C37" s="98"/>
      <c r="D37" s="98"/>
      <c r="E37" s="98"/>
    </row>
  </sheetData>
  <mergeCells count="6">
    <mergeCell ref="B2:F2"/>
    <mergeCell ref="B3:F3"/>
    <mergeCell ref="B5:E5"/>
    <mergeCell ref="B12:E12"/>
    <mergeCell ref="B29:E29"/>
    <mergeCell ref="B37:E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7377"/>
    <pageSetUpPr fitToPage="false"/>
  </sheetPr>
  <dimension ref="B1:J1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125" activePane="bottomRight" state="frozen"/>
      <selection pane="topLeft" activeCell="A1" activeCellId="0" sqref="A1"/>
      <selection pane="topRight" activeCell="C1" activeCellId="0" sqref="C1"/>
      <selection pane="bottomLeft" activeCell="A125" activeCellId="0" sqref="A125"/>
      <selection pane="bottomRight" activeCell="F140" activeCellId="0" sqref="F140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5"/>
    <col collapsed="false" customWidth="true" hidden="false" outlineLevel="0" max="3" min="3" style="1" width="9.86"/>
    <col collapsed="false" customWidth="true" hidden="false" outlineLevel="0" max="4" min="4" style="1" width="28.86"/>
    <col collapsed="false" customWidth="true" hidden="false" outlineLevel="0" max="6" min="5" style="1" width="10.14"/>
    <col collapsed="false" customWidth="true" hidden="false" outlineLevel="0" max="7" min="7" style="1" width="16.84"/>
    <col collapsed="false" customWidth="true" hidden="false" outlineLevel="0" max="8" min="8" style="1" width="14.42"/>
    <col collapsed="false" customWidth="true" hidden="false" outlineLevel="0" max="9" min="9" style="1" width="15.42"/>
    <col collapsed="false" customWidth="true" hidden="false" outlineLevel="0" max="10" min="10" style="1" width="17.71"/>
  </cols>
  <sheetData>
    <row r="1" customFormat="false" ht="9.75" hidden="false" customHeight="true" outlineLevel="0" collapsed="false"/>
    <row r="2" customFormat="false" ht="45" hidden="false" customHeight="true" outlineLevel="0" collapsed="false">
      <c r="B2" s="99" t="s">
        <v>204</v>
      </c>
      <c r="C2" s="99"/>
      <c r="D2" s="99"/>
      <c r="E2" s="99"/>
      <c r="F2" s="99"/>
      <c r="G2" s="99"/>
      <c r="H2" s="99"/>
      <c r="I2" s="99"/>
    </row>
    <row r="3" customFormat="false" ht="15" hidden="false" customHeight="true" outlineLevel="0" collapsed="false">
      <c r="B3" s="4" t="s">
        <v>205</v>
      </c>
      <c r="C3" s="4"/>
      <c r="D3" s="4"/>
      <c r="E3" s="4"/>
      <c r="F3" s="4"/>
      <c r="G3" s="4"/>
      <c r="H3" s="4"/>
      <c r="I3" s="4"/>
    </row>
    <row r="4" customFormat="false" ht="9.75" hidden="false" customHeight="true" outlineLevel="0" collapsed="false"/>
    <row r="5" customFormat="false" ht="27.75" hidden="false" customHeight="true" outlineLevel="0" collapsed="false">
      <c r="B5" s="100" t="s">
        <v>206</v>
      </c>
      <c r="C5" s="100"/>
      <c r="D5" s="100"/>
      <c r="E5" s="100"/>
      <c r="F5" s="100"/>
      <c r="G5" s="100"/>
      <c r="H5" s="100"/>
      <c r="I5" s="100"/>
    </row>
    <row r="6" customFormat="false" ht="9.75" hidden="false" customHeight="true" outlineLevel="0" collapsed="false"/>
    <row r="7" customFormat="false" ht="25.5" hidden="false" customHeight="true" outlineLevel="0" collapsed="false">
      <c r="B7" s="12" t="s">
        <v>207</v>
      </c>
      <c r="C7" s="12" t="s">
        <v>208</v>
      </c>
      <c r="D7" s="12" t="s">
        <v>209</v>
      </c>
      <c r="E7" s="12" t="s">
        <v>210</v>
      </c>
      <c r="F7" s="12" t="s">
        <v>211</v>
      </c>
      <c r="G7" s="12" t="s">
        <v>11</v>
      </c>
      <c r="H7" s="12" t="s">
        <v>212</v>
      </c>
      <c r="I7" s="12" t="s">
        <v>213</v>
      </c>
      <c r="J7" s="12" t="s">
        <v>214</v>
      </c>
    </row>
    <row r="8" customFormat="false" ht="18.75" hidden="false" customHeight="true" outlineLevel="0" collapsed="false">
      <c r="B8" s="101" t="n">
        <v>1</v>
      </c>
      <c r="C8" s="13" t="s">
        <v>215</v>
      </c>
      <c r="D8" s="13" t="s">
        <v>216</v>
      </c>
      <c r="E8" s="102" t="n">
        <v>5</v>
      </c>
      <c r="F8" s="103"/>
      <c r="G8" s="13" t="s">
        <v>171</v>
      </c>
      <c r="H8" s="13" t="s">
        <v>217</v>
      </c>
      <c r="I8" s="13" t="s">
        <v>218</v>
      </c>
      <c r="J8" s="13"/>
    </row>
    <row r="9" customFormat="false" ht="18.75" hidden="false" customHeight="true" outlineLevel="0" collapsed="false">
      <c r="B9" s="104" t="n">
        <v>2</v>
      </c>
      <c r="C9" s="17" t="s">
        <v>219</v>
      </c>
      <c r="D9" s="17" t="s">
        <v>220</v>
      </c>
      <c r="E9" s="105" t="n">
        <v>189</v>
      </c>
      <c r="F9" s="106"/>
      <c r="G9" s="17" t="s">
        <v>171</v>
      </c>
      <c r="H9" s="17" t="s">
        <v>221</v>
      </c>
      <c r="I9" s="17" t="s">
        <v>218</v>
      </c>
      <c r="J9" s="17"/>
    </row>
    <row r="10" customFormat="false" ht="18.75" hidden="false" customHeight="true" outlineLevel="0" collapsed="false">
      <c r="B10" s="107" t="n">
        <v>3</v>
      </c>
      <c r="C10" s="108" t="s">
        <v>222</v>
      </c>
      <c r="D10" s="108" t="s">
        <v>223</v>
      </c>
      <c r="E10" s="109" t="n">
        <v>194</v>
      </c>
      <c r="F10" s="110"/>
      <c r="G10" s="108" t="s">
        <v>224</v>
      </c>
      <c r="H10" s="108" t="s">
        <v>26</v>
      </c>
      <c r="I10" s="108" t="s">
        <v>218</v>
      </c>
      <c r="J10" s="108"/>
    </row>
    <row r="11" customFormat="false" ht="18.75" hidden="false" customHeight="true" outlineLevel="0" collapsed="false">
      <c r="B11" s="104" t="n">
        <v>4</v>
      </c>
      <c r="C11" s="17" t="s">
        <v>225</v>
      </c>
      <c r="D11" s="17" t="s">
        <v>226</v>
      </c>
      <c r="E11" s="105" t="n">
        <v>100</v>
      </c>
      <c r="F11" s="106"/>
      <c r="G11" s="17" t="s">
        <v>174</v>
      </c>
      <c r="H11" s="17" t="s">
        <v>41</v>
      </c>
      <c r="I11" s="17" t="s">
        <v>227</v>
      </c>
      <c r="J11" s="111" t="s">
        <v>228</v>
      </c>
    </row>
    <row r="12" customFormat="false" ht="18.75" hidden="false" customHeight="true" outlineLevel="0" collapsed="false">
      <c r="B12" s="107" t="n">
        <v>5</v>
      </c>
      <c r="C12" s="108" t="s">
        <v>229</v>
      </c>
      <c r="D12" s="108" t="s">
        <v>223</v>
      </c>
      <c r="E12" s="109" t="n">
        <v>98</v>
      </c>
      <c r="F12" s="110"/>
      <c r="G12" s="108" t="s">
        <v>224</v>
      </c>
      <c r="H12" s="108" t="s">
        <v>26</v>
      </c>
      <c r="I12" s="108" t="s">
        <v>218</v>
      </c>
      <c r="J12" s="108"/>
    </row>
    <row r="13" customFormat="false" ht="18.75" hidden="false" customHeight="true" outlineLevel="0" collapsed="false">
      <c r="B13" s="104" t="n">
        <v>6</v>
      </c>
      <c r="C13" s="17" t="s">
        <v>229</v>
      </c>
      <c r="D13" s="17" t="s">
        <v>230</v>
      </c>
      <c r="E13" s="105" t="n">
        <v>339</v>
      </c>
      <c r="F13" s="106"/>
      <c r="G13" s="17" t="s">
        <v>29</v>
      </c>
      <c r="H13" s="17" t="s">
        <v>231</v>
      </c>
      <c r="I13" s="17" t="s">
        <v>218</v>
      </c>
      <c r="J13" s="17"/>
    </row>
    <row r="14" customFormat="false" ht="18.75" hidden="false" customHeight="true" outlineLevel="0" collapsed="false">
      <c r="B14" s="101" t="n">
        <v>7</v>
      </c>
      <c r="C14" s="13" t="s">
        <v>229</v>
      </c>
      <c r="D14" s="13" t="s">
        <v>216</v>
      </c>
      <c r="E14" s="102" t="n">
        <v>792.6</v>
      </c>
      <c r="F14" s="103"/>
      <c r="G14" s="13" t="s">
        <v>171</v>
      </c>
      <c r="H14" s="13" t="s">
        <v>217</v>
      </c>
      <c r="I14" s="13" t="s">
        <v>218</v>
      </c>
      <c r="J14" s="13"/>
    </row>
    <row r="15" customFormat="false" ht="18.75" hidden="false" customHeight="true" outlineLevel="0" collapsed="false">
      <c r="B15" s="104" t="n">
        <v>8</v>
      </c>
      <c r="C15" s="17" t="s">
        <v>229</v>
      </c>
      <c r="D15" s="17" t="s">
        <v>216</v>
      </c>
      <c r="E15" s="105" t="n">
        <v>449</v>
      </c>
      <c r="F15" s="106"/>
      <c r="G15" s="17" t="s">
        <v>171</v>
      </c>
      <c r="H15" s="17" t="s">
        <v>217</v>
      </c>
      <c r="I15" s="17" t="s">
        <v>218</v>
      </c>
      <c r="J15" s="17"/>
    </row>
    <row r="16" customFormat="false" ht="18.75" hidden="false" customHeight="true" outlineLevel="0" collapsed="false">
      <c r="B16" s="101" t="n">
        <v>9</v>
      </c>
      <c r="C16" s="13" t="s">
        <v>229</v>
      </c>
      <c r="D16" s="13" t="s">
        <v>226</v>
      </c>
      <c r="E16" s="102" t="n">
        <v>100</v>
      </c>
      <c r="F16" s="103"/>
      <c r="G16" s="13" t="s">
        <v>174</v>
      </c>
      <c r="H16" s="13" t="s">
        <v>41</v>
      </c>
      <c r="I16" s="13" t="s">
        <v>227</v>
      </c>
      <c r="J16" s="112" t="s">
        <v>228</v>
      </c>
    </row>
    <row r="17" customFormat="false" ht="18.75" hidden="false" customHeight="true" outlineLevel="0" collapsed="false">
      <c r="B17" s="104" t="n">
        <v>10</v>
      </c>
      <c r="C17" s="17" t="s">
        <v>232</v>
      </c>
      <c r="D17" s="17" t="s">
        <v>233</v>
      </c>
      <c r="E17" s="105" t="n">
        <v>966.13</v>
      </c>
      <c r="F17" s="106"/>
      <c r="G17" s="17" t="s">
        <v>167</v>
      </c>
      <c r="H17" s="17" t="s">
        <v>20</v>
      </c>
      <c r="I17" s="17" t="s">
        <v>218</v>
      </c>
      <c r="J17" s="17"/>
    </row>
    <row r="18" customFormat="false" ht="18.75" hidden="false" customHeight="true" outlineLevel="0" collapsed="false">
      <c r="B18" s="101" t="n">
        <v>11</v>
      </c>
      <c r="C18" s="13" t="s">
        <v>234</v>
      </c>
      <c r="D18" s="13" t="s">
        <v>235</v>
      </c>
      <c r="E18" s="102" t="n">
        <v>479</v>
      </c>
      <c r="F18" s="103"/>
      <c r="G18" s="13" t="s">
        <v>176</v>
      </c>
      <c r="H18" s="13" t="s">
        <v>44</v>
      </c>
      <c r="I18" s="13" t="s">
        <v>227</v>
      </c>
      <c r="J18" s="13"/>
    </row>
    <row r="19" customFormat="false" ht="18.75" hidden="false" customHeight="true" outlineLevel="0" collapsed="false">
      <c r="B19" s="104" t="n">
        <v>12</v>
      </c>
      <c r="C19" s="17" t="s">
        <v>236</v>
      </c>
      <c r="D19" s="17" t="s">
        <v>237</v>
      </c>
      <c r="E19" s="105" t="n">
        <v>783</v>
      </c>
      <c r="F19" s="106"/>
      <c r="G19" s="17" t="s">
        <v>171</v>
      </c>
      <c r="H19" s="17" t="s">
        <v>217</v>
      </c>
      <c r="I19" s="17" t="s">
        <v>227</v>
      </c>
      <c r="J19" s="17"/>
    </row>
    <row r="20" customFormat="false" ht="18.75" hidden="false" customHeight="true" outlineLevel="0" collapsed="false">
      <c r="B20" s="107" t="n">
        <v>13</v>
      </c>
      <c r="C20" s="108" t="s">
        <v>236</v>
      </c>
      <c r="D20" s="108" t="s">
        <v>238</v>
      </c>
      <c r="E20" s="109" t="n">
        <v>623</v>
      </c>
      <c r="F20" s="110"/>
      <c r="G20" s="108" t="s">
        <v>224</v>
      </c>
      <c r="H20" s="108" t="s">
        <v>26</v>
      </c>
      <c r="I20" s="108" t="s">
        <v>227</v>
      </c>
      <c r="J20" s="108"/>
    </row>
    <row r="21" customFormat="false" ht="18.75" hidden="false" customHeight="true" outlineLevel="0" collapsed="false">
      <c r="B21" s="113" t="n">
        <v>14</v>
      </c>
      <c r="C21" s="114" t="s">
        <v>236</v>
      </c>
      <c r="D21" s="114" t="s">
        <v>239</v>
      </c>
      <c r="E21" s="115"/>
      <c r="F21" s="116" t="n">
        <v>449</v>
      </c>
      <c r="G21" s="114" t="s">
        <v>240</v>
      </c>
      <c r="H21" s="114" t="s">
        <v>241</v>
      </c>
      <c r="I21" s="114" t="s">
        <v>227</v>
      </c>
      <c r="J21" s="114"/>
    </row>
    <row r="22" customFormat="false" ht="18.75" hidden="false" customHeight="true" outlineLevel="0" collapsed="false">
      <c r="B22" s="101" t="n">
        <v>15</v>
      </c>
      <c r="C22" s="13" t="s">
        <v>242</v>
      </c>
      <c r="D22" s="13" t="s">
        <v>243</v>
      </c>
      <c r="E22" s="102" t="n">
        <v>271.53</v>
      </c>
      <c r="F22" s="103"/>
      <c r="G22" s="13" t="s">
        <v>244</v>
      </c>
      <c r="H22" s="13" t="s">
        <v>245</v>
      </c>
      <c r="I22" s="13" t="s">
        <v>227</v>
      </c>
      <c r="J22" s="13"/>
    </row>
    <row r="23" customFormat="false" ht="18.75" hidden="false" customHeight="true" outlineLevel="0" collapsed="false">
      <c r="B23" s="104" t="n">
        <v>16</v>
      </c>
      <c r="C23" s="17" t="s">
        <v>246</v>
      </c>
      <c r="D23" s="17" t="s">
        <v>247</v>
      </c>
      <c r="E23" s="105" t="n">
        <v>799</v>
      </c>
      <c r="F23" s="106"/>
      <c r="G23" s="17" t="s">
        <v>171</v>
      </c>
      <c r="H23" s="17" t="s">
        <v>221</v>
      </c>
      <c r="I23" s="17" t="s">
        <v>227</v>
      </c>
      <c r="J23" s="17"/>
    </row>
    <row r="24" customFormat="false" ht="18.75" hidden="false" customHeight="true" outlineLevel="0" collapsed="false">
      <c r="B24" s="101" t="n">
        <v>17</v>
      </c>
      <c r="C24" s="13" t="s">
        <v>246</v>
      </c>
      <c r="D24" s="13" t="s">
        <v>248</v>
      </c>
      <c r="E24" s="102" t="n">
        <v>27.48</v>
      </c>
      <c r="F24" s="103"/>
      <c r="G24" s="13" t="s">
        <v>171</v>
      </c>
      <c r="H24" s="13" t="s">
        <v>249</v>
      </c>
      <c r="I24" s="13" t="s">
        <v>227</v>
      </c>
      <c r="J24" s="13"/>
    </row>
    <row r="25" customFormat="false" ht="18.75" hidden="false" customHeight="true" outlineLevel="0" collapsed="false">
      <c r="B25" s="104" t="n">
        <v>18</v>
      </c>
      <c r="C25" s="17" t="s">
        <v>246</v>
      </c>
      <c r="D25" s="17" t="s">
        <v>250</v>
      </c>
      <c r="E25" s="105" t="n">
        <v>179</v>
      </c>
      <c r="F25" s="106"/>
      <c r="G25" s="17" t="s">
        <v>171</v>
      </c>
      <c r="H25" s="17" t="s">
        <v>249</v>
      </c>
      <c r="I25" s="17" t="s">
        <v>227</v>
      </c>
      <c r="J25" s="17"/>
    </row>
    <row r="26" customFormat="false" ht="18.75" hidden="false" customHeight="true" outlineLevel="0" collapsed="false">
      <c r="B26" s="101" t="n">
        <v>19</v>
      </c>
      <c r="C26" s="13" t="s">
        <v>251</v>
      </c>
      <c r="D26" s="13" t="s">
        <v>216</v>
      </c>
      <c r="E26" s="102" t="n">
        <v>588</v>
      </c>
      <c r="F26" s="103"/>
      <c r="G26" s="13" t="s">
        <v>171</v>
      </c>
      <c r="H26" s="13" t="s">
        <v>217</v>
      </c>
      <c r="I26" s="13" t="s">
        <v>252</v>
      </c>
      <c r="J26" s="13"/>
    </row>
    <row r="27" customFormat="false" ht="18.75" hidden="false" customHeight="true" outlineLevel="0" collapsed="false">
      <c r="B27" s="117" t="n">
        <v>20</v>
      </c>
      <c r="C27" s="118" t="s">
        <v>251</v>
      </c>
      <c r="D27" s="118" t="s">
        <v>253</v>
      </c>
      <c r="E27" s="119" t="n">
        <v>143</v>
      </c>
      <c r="F27" s="120"/>
      <c r="G27" s="118" t="s">
        <v>224</v>
      </c>
      <c r="H27" s="118" t="s">
        <v>26</v>
      </c>
      <c r="I27" s="118" t="s">
        <v>252</v>
      </c>
      <c r="J27" s="118"/>
    </row>
    <row r="28" customFormat="false" ht="18.75" hidden="false" customHeight="true" outlineLevel="0" collapsed="false">
      <c r="B28" s="121" t="n">
        <v>21</v>
      </c>
      <c r="C28" s="122" t="s">
        <v>251</v>
      </c>
      <c r="D28" s="122" t="s">
        <v>239</v>
      </c>
      <c r="E28" s="123"/>
      <c r="F28" s="124" t="n">
        <v>4600</v>
      </c>
      <c r="G28" s="122" t="s">
        <v>240</v>
      </c>
      <c r="H28" s="122" t="s">
        <v>241</v>
      </c>
      <c r="I28" s="122" t="s">
        <v>252</v>
      </c>
      <c r="J28" s="122"/>
    </row>
    <row r="29" customFormat="false" ht="18.75" hidden="false" customHeight="true" outlineLevel="0" collapsed="false">
      <c r="B29" s="113" t="n">
        <v>22</v>
      </c>
      <c r="C29" s="114" t="s">
        <v>251</v>
      </c>
      <c r="D29" s="114" t="s">
        <v>248</v>
      </c>
      <c r="E29" s="115"/>
      <c r="F29" s="116" t="n">
        <v>27.48</v>
      </c>
      <c r="G29" s="114" t="s">
        <v>240</v>
      </c>
      <c r="H29" s="114" t="s">
        <v>254</v>
      </c>
      <c r="I29" s="114" t="s">
        <v>252</v>
      </c>
      <c r="J29" s="114" t="s">
        <v>255</v>
      </c>
    </row>
    <row r="30" customFormat="false" ht="18.75" hidden="false" customHeight="true" outlineLevel="0" collapsed="false">
      <c r="B30" s="107" t="n">
        <v>23</v>
      </c>
      <c r="C30" s="108" t="s">
        <v>256</v>
      </c>
      <c r="D30" s="108" t="s">
        <v>223</v>
      </c>
      <c r="E30" s="109" t="n">
        <v>98</v>
      </c>
      <c r="F30" s="110"/>
      <c r="G30" s="108" t="s">
        <v>224</v>
      </c>
      <c r="H30" s="108" t="s">
        <v>26</v>
      </c>
      <c r="I30" s="108" t="s">
        <v>252</v>
      </c>
      <c r="J30" s="108"/>
    </row>
    <row r="31" customFormat="false" ht="18.75" hidden="false" customHeight="true" outlineLevel="0" collapsed="false">
      <c r="B31" s="117" t="n">
        <v>24</v>
      </c>
      <c r="C31" s="118" t="s">
        <v>257</v>
      </c>
      <c r="D31" s="118" t="s">
        <v>223</v>
      </c>
      <c r="E31" s="119" t="n">
        <v>332.5</v>
      </c>
      <c r="F31" s="120"/>
      <c r="G31" s="118" t="s">
        <v>224</v>
      </c>
      <c r="H31" s="118" t="s">
        <v>26</v>
      </c>
      <c r="I31" s="118" t="s">
        <v>252</v>
      </c>
      <c r="J31" s="118"/>
    </row>
    <row r="32" customFormat="false" ht="18.75" hidden="false" customHeight="true" outlineLevel="0" collapsed="false">
      <c r="B32" s="101" t="n">
        <v>25</v>
      </c>
      <c r="C32" s="13" t="s">
        <v>258</v>
      </c>
      <c r="D32" s="13" t="s">
        <v>216</v>
      </c>
      <c r="E32" s="102" t="n">
        <v>129</v>
      </c>
      <c r="F32" s="103"/>
      <c r="G32" s="13" t="s">
        <v>171</v>
      </c>
      <c r="H32" s="13" t="s">
        <v>217</v>
      </c>
      <c r="I32" s="13" t="s">
        <v>252</v>
      </c>
      <c r="J32" s="13"/>
    </row>
    <row r="33" customFormat="false" ht="18.75" hidden="false" customHeight="true" outlineLevel="0" collapsed="false">
      <c r="B33" s="104" t="n">
        <v>26</v>
      </c>
      <c r="C33" s="17" t="s">
        <v>258</v>
      </c>
      <c r="D33" s="17" t="s">
        <v>226</v>
      </c>
      <c r="E33" s="105" t="n">
        <v>100</v>
      </c>
      <c r="F33" s="106"/>
      <c r="G33" s="17" t="s">
        <v>174</v>
      </c>
      <c r="H33" s="17" t="s">
        <v>41</v>
      </c>
      <c r="I33" s="17" t="s">
        <v>252</v>
      </c>
      <c r="J33" s="17" t="s">
        <v>228</v>
      </c>
    </row>
    <row r="34" customFormat="false" ht="18.75" hidden="false" customHeight="true" outlineLevel="0" collapsed="false">
      <c r="B34" s="107" t="n">
        <v>27</v>
      </c>
      <c r="C34" s="108" t="s">
        <v>259</v>
      </c>
      <c r="D34" s="108" t="s">
        <v>223</v>
      </c>
      <c r="E34" s="109" t="n">
        <v>217.5</v>
      </c>
      <c r="F34" s="110"/>
      <c r="G34" s="108" t="s">
        <v>224</v>
      </c>
      <c r="H34" s="108" t="s">
        <v>26</v>
      </c>
      <c r="I34" s="108" t="s">
        <v>252</v>
      </c>
      <c r="J34" s="108"/>
    </row>
    <row r="35" customFormat="false" ht="18.75" hidden="false" customHeight="true" outlineLevel="0" collapsed="false">
      <c r="B35" s="104" t="n">
        <v>28</v>
      </c>
      <c r="C35" s="17" t="s">
        <v>260</v>
      </c>
      <c r="D35" s="17" t="s">
        <v>261</v>
      </c>
      <c r="E35" s="105" t="n">
        <v>900</v>
      </c>
      <c r="F35" s="106"/>
      <c r="G35" s="17" t="s">
        <v>29</v>
      </c>
      <c r="H35" s="17" t="s">
        <v>262</v>
      </c>
      <c r="I35" s="17" t="s">
        <v>252</v>
      </c>
      <c r="J35" s="17"/>
    </row>
    <row r="36" customFormat="false" ht="18.75" hidden="false" customHeight="true" outlineLevel="0" collapsed="false">
      <c r="B36" s="101" t="n">
        <v>29</v>
      </c>
      <c r="C36" s="13" t="s">
        <v>260</v>
      </c>
      <c r="D36" s="13" t="s">
        <v>263</v>
      </c>
      <c r="E36" s="102" t="n">
        <v>411</v>
      </c>
      <c r="F36" s="103"/>
      <c r="G36" s="13" t="s">
        <v>171</v>
      </c>
      <c r="H36" s="13" t="s">
        <v>221</v>
      </c>
      <c r="I36" s="13" t="s">
        <v>252</v>
      </c>
      <c r="J36" s="13"/>
    </row>
    <row r="37" customFormat="false" ht="18.75" hidden="false" customHeight="true" outlineLevel="0" collapsed="false">
      <c r="B37" s="104" t="n">
        <v>30</v>
      </c>
      <c r="C37" s="17" t="s">
        <v>260</v>
      </c>
      <c r="D37" s="17" t="s">
        <v>264</v>
      </c>
      <c r="E37" s="105" t="n">
        <v>200</v>
      </c>
      <c r="F37" s="106"/>
      <c r="G37" s="17" t="s">
        <v>167</v>
      </c>
      <c r="H37" s="17" t="s">
        <v>20</v>
      </c>
      <c r="I37" s="17" t="s">
        <v>252</v>
      </c>
      <c r="J37" s="17"/>
    </row>
    <row r="38" customFormat="false" ht="18.75" hidden="false" customHeight="true" outlineLevel="0" collapsed="false">
      <c r="B38" s="121" t="n">
        <v>31</v>
      </c>
      <c r="C38" s="122" t="s">
        <v>260</v>
      </c>
      <c r="D38" s="122" t="s">
        <v>216</v>
      </c>
      <c r="E38" s="123"/>
      <c r="F38" s="124" t="n">
        <v>129</v>
      </c>
      <c r="G38" s="122" t="s">
        <v>240</v>
      </c>
      <c r="H38" s="122" t="s">
        <v>254</v>
      </c>
      <c r="I38" s="122" t="s">
        <v>252</v>
      </c>
      <c r="J38" s="122" t="s">
        <v>265</v>
      </c>
    </row>
    <row r="39" customFormat="false" ht="18.75" hidden="false" customHeight="true" outlineLevel="0" collapsed="false">
      <c r="B39" s="104" t="n">
        <v>32</v>
      </c>
      <c r="C39" s="17" t="s">
        <v>260</v>
      </c>
      <c r="D39" s="17" t="s">
        <v>266</v>
      </c>
      <c r="E39" s="105" t="n">
        <v>776.51</v>
      </c>
      <c r="F39" s="106"/>
      <c r="G39" s="17" t="s">
        <v>167</v>
      </c>
      <c r="H39" s="17" t="s">
        <v>20</v>
      </c>
      <c r="I39" s="17" t="s">
        <v>252</v>
      </c>
      <c r="J39" s="17"/>
    </row>
    <row r="40" customFormat="false" ht="18.75" hidden="false" customHeight="true" outlineLevel="0" collapsed="false">
      <c r="B40" s="101" t="n">
        <v>33</v>
      </c>
      <c r="C40" s="13" t="s">
        <v>260</v>
      </c>
      <c r="D40" s="13" t="s">
        <v>216</v>
      </c>
      <c r="E40" s="102" t="n">
        <v>633.2</v>
      </c>
      <c r="F40" s="103"/>
      <c r="G40" s="13" t="s">
        <v>171</v>
      </c>
      <c r="H40" s="13" t="s">
        <v>217</v>
      </c>
      <c r="I40" s="13" t="s">
        <v>252</v>
      </c>
      <c r="J40" s="13"/>
    </row>
    <row r="41" customFormat="false" ht="18.75" hidden="false" customHeight="true" outlineLevel="0" collapsed="false">
      <c r="B41" s="104" t="n">
        <v>34</v>
      </c>
      <c r="C41" s="17" t="s">
        <v>260</v>
      </c>
      <c r="D41" s="17" t="s">
        <v>243</v>
      </c>
      <c r="E41" s="105" t="n">
        <v>144.97</v>
      </c>
      <c r="F41" s="106"/>
      <c r="G41" s="17" t="s">
        <v>244</v>
      </c>
      <c r="H41" s="17" t="s">
        <v>245</v>
      </c>
      <c r="I41" s="17" t="s">
        <v>252</v>
      </c>
      <c r="J41" s="17"/>
    </row>
    <row r="42" customFormat="false" ht="18.75" hidden="false" customHeight="true" outlineLevel="0" collapsed="false">
      <c r="B42" s="101" t="n">
        <v>35</v>
      </c>
      <c r="C42" s="13" t="s">
        <v>260</v>
      </c>
      <c r="D42" s="13" t="s">
        <v>226</v>
      </c>
      <c r="E42" s="102" t="n">
        <v>100</v>
      </c>
      <c r="F42" s="103"/>
      <c r="G42" s="13" t="s">
        <v>174</v>
      </c>
      <c r="H42" s="13" t="s">
        <v>41</v>
      </c>
      <c r="I42" s="13" t="s">
        <v>252</v>
      </c>
      <c r="J42" s="13" t="s">
        <v>228</v>
      </c>
    </row>
    <row r="43" customFormat="false" ht="18.75" hidden="false" customHeight="true" outlineLevel="0" collapsed="false">
      <c r="B43" s="125" t="n">
        <v>36</v>
      </c>
      <c r="C43" s="126" t="s">
        <v>267</v>
      </c>
      <c r="D43" s="126" t="s">
        <v>268</v>
      </c>
      <c r="E43" s="127" t="n">
        <v>161</v>
      </c>
      <c r="F43" s="128"/>
      <c r="G43" s="126" t="s">
        <v>144</v>
      </c>
      <c r="H43" s="126" t="s">
        <v>269</v>
      </c>
      <c r="I43" s="126" t="s">
        <v>252</v>
      </c>
      <c r="J43" s="126" t="s">
        <v>270</v>
      </c>
    </row>
    <row r="44" customFormat="false" ht="18.75" hidden="false" customHeight="true" outlineLevel="0" collapsed="false">
      <c r="B44" s="101" t="n">
        <v>37</v>
      </c>
      <c r="C44" s="13" t="s">
        <v>267</v>
      </c>
      <c r="D44" s="13" t="s">
        <v>271</v>
      </c>
      <c r="E44" s="102" t="n">
        <v>700</v>
      </c>
      <c r="F44" s="103"/>
      <c r="G44" s="13" t="s">
        <v>167</v>
      </c>
      <c r="H44" s="13" t="s">
        <v>20</v>
      </c>
      <c r="I44" s="13" t="s">
        <v>252</v>
      </c>
      <c r="J44" s="13"/>
    </row>
    <row r="45" customFormat="false" ht="18.75" hidden="false" customHeight="true" outlineLevel="0" collapsed="false">
      <c r="B45" s="104" t="n">
        <v>38</v>
      </c>
      <c r="C45" s="17" t="s">
        <v>267</v>
      </c>
      <c r="D45" s="17" t="s">
        <v>226</v>
      </c>
      <c r="E45" s="105" t="n">
        <v>100</v>
      </c>
      <c r="F45" s="106"/>
      <c r="G45" s="17" t="s">
        <v>174</v>
      </c>
      <c r="H45" s="17" t="s">
        <v>41</v>
      </c>
      <c r="I45" s="17" t="s">
        <v>252</v>
      </c>
      <c r="J45" s="17" t="s">
        <v>228</v>
      </c>
    </row>
    <row r="46" customFormat="false" ht="18.75" hidden="false" customHeight="true" outlineLevel="0" collapsed="false">
      <c r="B46" s="101" t="n">
        <v>39</v>
      </c>
      <c r="C46" s="13" t="s">
        <v>267</v>
      </c>
      <c r="D46" s="13" t="s">
        <v>272</v>
      </c>
      <c r="E46" s="102" t="n">
        <v>347</v>
      </c>
      <c r="F46" s="103"/>
      <c r="G46" s="13" t="s">
        <v>244</v>
      </c>
      <c r="H46" s="13" t="s">
        <v>273</v>
      </c>
      <c r="I46" s="13" t="s">
        <v>252</v>
      </c>
      <c r="J46" s="13"/>
    </row>
    <row r="47" customFormat="false" ht="18.75" hidden="false" customHeight="true" outlineLevel="0" collapsed="false">
      <c r="B47" s="104" t="n">
        <v>40</v>
      </c>
      <c r="C47" s="17" t="s">
        <v>274</v>
      </c>
      <c r="D47" s="17" t="s">
        <v>275</v>
      </c>
      <c r="E47" s="105" t="n">
        <v>329</v>
      </c>
      <c r="F47" s="106"/>
      <c r="G47" s="17" t="s">
        <v>174</v>
      </c>
      <c r="H47" s="17" t="s">
        <v>276</v>
      </c>
      <c r="I47" s="17" t="s">
        <v>252</v>
      </c>
      <c r="J47" s="17"/>
    </row>
    <row r="48" customFormat="false" ht="18.75" hidden="false" customHeight="true" outlineLevel="0" collapsed="false">
      <c r="B48" s="107" t="n">
        <v>41</v>
      </c>
      <c r="C48" s="108" t="s">
        <v>274</v>
      </c>
      <c r="D48" s="108" t="s">
        <v>277</v>
      </c>
      <c r="E48" s="109" t="n">
        <v>855.35</v>
      </c>
      <c r="F48" s="110"/>
      <c r="G48" s="108" t="s">
        <v>178</v>
      </c>
      <c r="H48" s="108" t="s">
        <v>278</v>
      </c>
      <c r="I48" s="108" t="s">
        <v>252</v>
      </c>
      <c r="J48" s="108"/>
    </row>
    <row r="49" customFormat="false" ht="18.75" hidden="false" customHeight="true" outlineLevel="0" collapsed="false">
      <c r="B49" s="104" t="n">
        <v>42</v>
      </c>
      <c r="C49" s="17" t="s">
        <v>279</v>
      </c>
      <c r="D49" s="17" t="s">
        <v>280</v>
      </c>
      <c r="E49" s="105" t="n">
        <v>340</v>
      </c>
      <c r="F49" s="106"/>
      <c r="G49" s="17" t="s">
        <v>29</v>
      </c>
      <c r="H49" s="17" t="s">
        <v>281</v>
      </c>
      <c r="I49" s="17" t="s">
        <v>252</v>
      </c>
      <c r="J49" s="17"/>
    </row>
    <row r="50" customFormat="false" ht="18.75" hidden="false" customHeight="true" outlineLevel="0" collapsed="false">
      <c r="B50" s="121" t="n">
        <v>43</v>
      </c>
      <c r="C50" s="122" t="s">
        <v>279</v>
      </c>
      <c r="D50" s="122" t="s">
        <v>239</v>
      </c>
      <c r="E50" s="123"/>
      <c r="F50" s="124" t="n">
        <v>555</v>
      </c>
      <c r="G50" s="122" t="s">
        <v>240</v>
      </c>
      <c r="H50" s="122" t="s">
        <v>241</v>
      </c>
      <c r="I50" s="122" t="s">
        <v>252</v>
      </c>
      <c r="J50" s="122"/>
    </row>
    <row r="51" customFormat="false" ht="18.75" hidden="false" customHeight="true" outlineLevel="0" collapsed="false">
      <c r="B51" s="113" t="n">
        <v>44</v>
      </c>
      <c r="C51" s="114" t="s">
        <v>279</v>
      </c>
      <c r="D51" s="114" t="s">
        <v>239</v>
      </c>
      <c r="E51" s="115"/>
      <c r="F51" s="116" t="n">
        <v>415</v>
      </c>
      <c r="G51" s="114" t="s">
        <v>240</v>
      </c>
      <c r="H51" s="114" t="s">
        <v>241</v>
      </c>
      <c r="I51" s="114" t="s">
        <v>252</v>
      </c>
      <c r="J51" s="114"/>
    </row>
    <row r="52" customFormat="false" ht="18.75" hidden="false" customHeight="true" outlineLevel="0" collapsed="false">
      <c r="B52" s="107" t="n">
        <v>45</v>
      </c>
      <c r="C52" s="108" t="s">
        <v>282</v>
      </c>
      <c r="D52" s="108" t="s">
        <v>223</v>
      </c>
      <c r="E52" s="109" t="n">
        <v>98</v>
      </c>
      <c r="F52" s="110"/>
      <c r="G52" s="108" t="s">
        <v>224</v>
      </c>
      <c r="H52" s="108" t="s">
        <v>26</v>
      </c>
      <c r="I52" s="108" t="s">
        <v>252</v>
      </c>
      <c r="J52" s="108"/>
    </row>
    <row r="53" customFormat="false" ht="18.75" hidden="false" customHeight="true" outlineLevel="0" collapsed="false">
      <c r="B53" s="104" t="n">
        <v>46</v>
      </c>
      <c r="C53" s="17" t="s">
        <v>283</v>
      </c>
      <c r="D53" s="17" t="s">
        <v>284</v>
      </c>
      <c r="E53" s="105" t="n">
        <v>917.4</v>
      </c>
      <c r="F53" s="106"/>
      <c r="G53" s="17" t="s">
        <v>167</v>
      </c>
      <c r="H53" s="17" t="s">
        <v>20</v>
      </c>
      <c r="I53" s="17" t="s">
        <v>252</v>
      </c>
      <c r="J53" s="17"/>
    </row>
    <row r="54" customFormat="false" ht="18.75" hidden="false" customHeight="true" outlineLevel="0" collapsed="false">
      <c r="B54" s="101" t="n">
        <v>47</v>
      </c>
      <c r="C54" s="13" t="s">
        <v>283</v>
      </c>
      <c r="D54" s="13" t="s">
        <v>285</v>
      </c>
      <c r="E54" s="102" t="n">
        <v>212.75</v>
      </c>
      <c r="F54" s="103"/>
      <c r="G54" s="13" t="s">
        <v>171</v>
      </c>
      <c r="H54" s="13" t="s">
        <v>221</v>
      </c>
      <c r="I54" s="13" t="s">
        <v>252</v>
      </c>
      <c r="J54" s="13"/>
    </row>
    <row r="55" customFormat="false" ht="18.75" hidden="false" customHeight="true" outlineLevel="0" collapsed="false">
      <c r="B55" s="104" t="n">
        <v>48</v>
      </c>
      <c r="C55" s="17" t="s">
        <v>286</v>
      </c>
      <c r="D55" s="17" t="s">
        <v>226</v>
      </c>
      <c r="E55" s="105" t="n">
        <v>50</v>
      </c>
      <c r="F55" s="106"/>
      <c r="G55" s="17" t="s">
        <v>174</v>
      </c>
      <c r="H55" s="17" t="s">
        <v>41</v>
      </c>
      <c r="I55" s="17" t="s">
        <v>252</v>
      </c>
      <c r="J55" s="17" t="s">
        <v>228</v>
      </c>
    </row>
    <row r="56" customFormat="false" ht="18.75" hidden="false" customHeight="true" outlineLevel="0" collapsed="false">
      <c r="B56" s="101" t="n">
        <v>49</v>
      </c>
      <c r="C56" s="13" t="s">
        <v>286</v>
      </c>
      <c r="D56" s="13" t="s">
        <v>226</v>
      </c>
      <c r="E56" s="102" t="n">
        <v>50</v>
      </c>
      <c r="F56" s="103"/>
      <c r="G56" s="13" t="s">
        <v>174</v>
      </c>
      <c r="H56" s="13" t="s">
        <v>41</v>
      </c>
      <c r="I56" s="13" t="s">
        <v>252</v>
      </c>
      <c r="J56" s="13" t="s">
        <v>228</v>
      </c>
    </row>
    <row r="57" customFormat="false" ht="18.75" hidden="false" customHeight="true" outlineLevel="0" collapsed="false">
      <c r="B57" s="113" t="n">
        <v>50</v>
      </c>
      <c r="C57" s="114" t="s">
        <v>287</v>
      </c>
      <c r="D57" s="114" t="s">
        <v>239</v>
      </c>
      <c r="E57" s="115"/>
      <c r="F57" s="116" t="n">
        <v>5000</v>
      </c>
      <c r="G57" s="114" t="s">
        <v>240</v>
      </c>
      <c r="H57" s="114" t="s">
        <v>241</v>
      </c>
      <c r="I57" s="114" t="s">
        <v>288</v>
      </c>
      <c r="J57" s="114" t="s">
        <v>289</v>
      </c>
    </row>
    <row r="58" customFormat="false" ht="18.75" hidden="false" customHeight="true" outlineLevel="0" collapsed="false">
      <c r="B58" s="101" t="n">
        <v>51</v>
      </c>
      <c r="C58" s="13" t="s">
        <v>290</v>
      </c>
      <c r="D58" s="13" t="s">
        <v>291</v>
      </c>
      <c r="E58" s="102" t="n">
        <v>196</v>
      </c>
      <c r="F58" s="103"/>
      <c r="G58" s="13" t="s">
        <v>171</v>
      </c>
      <c r="H58" s="13" t="s">
        <v>221</v>
      </c>
      <c r="I58" s="13" t="s">
        <v>288</v>
      </c>
      <c r="J58" s="13"/>
    </row>
    <row r="59" customFormat="false" ht="18.75" hidden="false" customHeight="true" outlineLevel="0" collapsed="false">
      <c r="B59" s="117" t="n">
        <v>52</v>
      </c>
      <c r="C59" s="118" t="s">
        <v>290</v>
      </c>
      <c r="D59" s="118" t="s">
        <v>223</v>
      </c>
      <c r="E59" s="119" t="n">
        <v>98</v>
      </c>
      <c r="F59" s="120"/>
      <c r="G59" s="118" t="s">
        <v>224</v>
      </c>
      <c r="H59" s="118" t="s">
        <v>26</v>
      </c>
      <c r="I59" s="118" t="s">
        <v>288</v>
      </c>
      <c r="J59" s="118"/>
    </row>
    <row r="60" customFormat="false" ht="18.75" hidden="false" customHeight="true" outlineLevel="0" collapsed="false">
      <c r="B60" s="101" t="n">
        <v>53</v>
      </c>
      <c r="C60" s="13" t="s">
        <v>292</v>
      </c>
      <c r="D60" s="13" t="s">
        <v>293</v>
      </c>
      <c r="E60" s="102" t="n">
        <v>300</v>
      </c>
      <c r="F60" s="103"/>
      <c r="G60" s="13" t="s">
        <v>171</v>
      </c>
      <c r="H60" s="13" t="s">
        <v>221</v>
      </c>
      <c r="I60" s="13" t="s">
        <v>288</v>
      </c>
      <c r="J60" s="13"/>
    </row>
    <row r="61" customFormat="false" ht="18.75" hidden="false" customHeight="true" outlineLevel="0" collapsed="false">
      <c r="B61" s="104" t="n">
        <v>54</v>
      </c>
      <c r="C61" s="17" t="s">
        <v>294</v>
      </c>
      <c r="D61" s="17" t="s">
        <v>295</v>
      </c>
      <c r="E61" s="105" t="n">
        <v>1200.47</v>
      </c>
      <c r="F61" s="106"/>
      <c r="G61" s="17" t="s">
        <v>179</v>
      </c>
      <c r="H61" s="17" t="s">
        <v>296</v>
      </c>
      <c r="I61" s="17" t="s">
        <v>288</v>
      </c>
      <c r="J61" s="17" t="s">
        <v>297</v>
      </c>
    </row>
    <row r="62" customFormat="false" ht="18.75" hidden="false" customHeight="true" outlineLevel="0" collapsed="false">
      <c r="B62" s="101" t="n">
        <v>55</v>
      </c>
      <c r="C62" s="13" t="s">
        <v>294</v>
      </c>
      <c r="D62" s="13" t="s">
        <v>266</v>
      </c>
      <c r="E62" s="102" t="n">
        <v>681.35</v>
      </c>
      <c r="F62" s="103"/>
      <c r="G62" s="13" t="s">
        <v>167</v>
      </c>
      <c r="H62" s="13" t="s">
        <v>20</v>
      </c>
      <c r="I62" s="13" t="s">
        <v>288</v>
      </c>
      <c r="J62" s="13"/>
    </row>
    <row r="63" customFormat="false" ht="18.75" hidden="false" customHeight="true" outlineLevel="0" collapsed="false">
      <c r="B63" s="104" t="n">
        <v>56</v>
      </c>
      <c r="C63" s="17" t="s">
        <v>294</v>
      </c>
      <c r="D63" s="17" t="s">
        <v>216</v>
      </c>
      <c r="E63" s="105" t="n">
        <v>2718.9</v>
      </c>
      <c r="F63" s="106"/>
      <c r="G63" s="17" t="s">
        <v>171</v>
      </c>
      <c r="H63" s="17" t="s">
        <v>217</v>
      </c>
      <c r="I63" s="17" t="s">
        <v>288</v>
      </c>
      <c r="J63" s="17"/>
    </row>
    <row r="64" customFormat="false" ht="18.75" hidden="false" customHeight="true" outlineLevel="0" collapsed="false">
      <c r="B64" s="101" t="n">
        <v>57</v>
      </c>
      <c r="C64" s="13" t="s">
        <v>294</v>
      </c>
      <c r="D64" s="13" t="s">
        <v>298</v>
      </c>
      <c r="E64" s="102" t="n">
        <v>129</v>
      </c>
      <c r="F64" s="103"/>
      <c r="G64" s="13" t="s">
        <v>244</v>
      </c>
      <c r="H64" s="13" t="s">
        <v>273</v>
      </c>
      <c r="I64" s="13" t="s">
        <v>288</v>
      </c>
      <c r="J64" s="13"/>
    </row>
    <row r="65" customFormat="false" ht="18.75" hidden="false" customHeight="true" outlineLevel="0" collapsed="false">
      <c r="B65" s="104" t="n">
        <v>58</v>
      </c>
      <c r="C65" s="17" t="s">
        <v>294</v>
      </c>
      <c r="D65" s="17" t="s">
        <v>299</v>
      </c>
      <c r="E65" s="105" t="n">
        <v>216</v>
      </c>
      <c r="F65" s="106"/>
      <c r="G65" s="17" t="s">
        <v>171</v>
      </c>
      <c r="H65" s="17" t="s">
        <v>249</v>
      </c>
      <c r="I65" s="17" t="s">
        <v>288</v>
      </c>
      <c r="J65" s="17"/>
    </row>
    <row r="66" customFormat="false" ht="18.75" hidden="false" customHeight="true" outlineLevel="0" collapsed="false">
      <c r="B66" s="101" t="n">
        <v>59</v>
      </c>
      <c r="C66" s="13" t="s">
        <v>294</v>
      </c>
      <c r="D66" s="13" t="s">
        <v>226</v>
      </c>
      <c r="E66" s="102" t="n">
        <v>250</v>
      </c>
      <c r="F66" s="103"/>
      <c r="G66" s="13" t="s">
        <v>174</v>
      </c>
      <c r="H66" s="13" t="s">
        <v>41</v>
      </c>
      <c r="I66" s="13" t="s">
        <v>288</v>
      </c>
      <c r="J66" s="13" t="s">
        <v>228</v>
      </c>
    </row>
    <row r="67" customFormat="false" ht="18.75" hidden="false" customHeight="true" outlineLevel="0" collapsed="false">
      <c r="B67" s="104" t="n">
        <v>60</v>
      </c>
      <c r="C67" s="17" t="s">
        <v>300</v>
      </c>
      <c r="D67" s="17" t="s">
        <v>291</v>
      </c>
      <c r="E67" s="105" t="n">
        <v>133</v>
      </c>
      <c r="F67" s="106"/>
      <c r="G67" s="17" t="s">
        <v>171</v>
      </c>
      <c r="H67" s="17" t="s">
        <v>221</v>
      </c>
      <c r="I67" s="17" t="s">
        <v>288</v>
      </c>
      <c r="J67" s="17"/>
    </row>
    <row r="68" customFormat="false" ht="18.75" hidden="false" customHeight="true" outlineLevel="0" collapsed="false">
      <c r="B68" s="101" t="n">
        <v>61</v>
      </c>
      <c r="C68" s="13" t="s">
        <v>300</v>
      </c>
      <c r="D68" s="13" t="s">
        <v>301</v>
      </c>
      <c r="E68" s="102" t="n">
        <v>539</v>
      </c>
      <c r="F68" s="103"/>
      <c r="G68" s="13" t="s">
        <v>171</v>
      </c>
      <c r="H68" s="13" t="s">
        <v>217</v>
      </c>
      <c r="I68" s="13" t="s">
        <v>288</v>
      </c>
      <c r="J68" s="13"/>
    </row>
    <row r="69" customFormat="false" ht="18.75" hidden="false" customHeight="true" outlineLevel="0" collapsed="false">
      <c r="B69" s="113" t="n">
        <v>62</v>
      </c>
      <c r="C69" s="114" t="s">
        <v>300</v>
      </c>
      <c r="D69" s="114" t="s">
        <v>239</v>
      </c>
      <c r="E69" s="115"/>
      <c r="F69" s="116" t="n">
        <v>1500</v>
      </c>
      <c r="G69" s="114" t="s">
        <v>240</v>
      </c>
      <c r="H69" s="114" t="s">
        <v>241</v>
      </c>
      <c r="I69" s="114" t="s">
        <v>288</v>
      </c>
      <c r="J69" s="114"/>
    </row>
    <row r="70" customFormat="false" ht="18.75" hidden="false" customHeight="true" outlineLevel="0" collapsed="false">
      <c r="B70" s="107" t="n">
        <v>63</v>
      </c>
      <c r="C70" s="108" t="s">
        <v>302</v>
      </c>
      <c r="D70" s="108" t="s">
        <v>223</v>
      </c>
      <c r="E70" s="109" t="n">
        <v>156</v>
      </c>
      <c r="F70" s="110"/>
      <c r="G70" s="108" t="s">
        <v>224</v>
      </c>
      <c r="H70" s="108" t="s">
        <v>26</v>
      </c>
      <c r="I70" s="108" t="s">
        <v>288</v>
      </c>
      <c r="J70" s="108"/>
    </row>
    <row r="71" customFormat="false" ht="18.75" hidden="false" customHeight="true" outlineLevel="0" collapsed="false">
      <c r="B71" s="104" t="n">
        <v>64</v>
      </c>
      <c r="C71" s="17" t="s">
        <v>303</v>
      </c>
      <c r="D71" s="17" t="s">
        <v>304</v>
      </c>
      <c r="E71" s="105" t="n">
        <v>1200.47</v>
      </c>
      <c r="F71" s="106"/>
      <c r="G71" s="17" t="s">
        <v>179</v>
      </c>
      <c r="H71" s="17" t="s">
        <v>296</v>
      </c>
      <c r="I71" s="17" t="s">
        <v>288</v>
      </c>
      <c r="J71" s="17" t="s">
        <v>305</v>
      </c>
    </row>
    <row r="72" customFormat="false" ht="18.75" hidden="false" customHeight="true" outlineLevel="0" collapsed="false">
      <c r="B72" s="101" t="n">
        <v>65</v>
      </c>
      <c r="C72" s="13" t="s">
        <v>303</v>
      </c>
      <c r="D72" s="13" t="s">
        <v>299</v>
      </c>
      <c r="E72" s="102" t="n">
        <v>334</v>
      </c>
      <c r="F72" s="103"/>
      <c r="G72" s="13" t="s">
        <v>171</v>
      </c>
      <c r="H72" s="13" t="s">
        <v>249</v>
      </c>
      <c r="I72" s="13" t="s">
        <v>288</v>
      </c>
      <c r="J72" s="13"/>
    </row>
    <row r="73" customFormat="false" ht="18.75" hidden="false" customHeight="true" outlineLevel="0" collapsed="false">
      <c r="B73" s="104" t="n">
        <v>66</v>
      </c>
      <c r="C73" s="17" t="s">
        <v>303</v>
      </c>
      <c r="D73" s="17" t="s">
        <v>226</v>
      </c>
      <c r="E73" s="105" t="n">
        <v>250</v>
      </c>
      <c r="F73" s="106"/>
      <c r="G73" s="17" t="s">
        <v>174</v>
      </c>
      <c r="H73" s="17" t="s">
        <v>41</v>
      </c>
      <c r="I73" s="17" t="s">
        <v>288</v>
      </c>
      <c r="J73" s="17" t="s">
        <v>228</v>
      </c>
    </row>
    <row r="74" customFormat="false" ht="18.75" hidden="false" customHeight="true" outlineLevel="0" collapsed="false">
      <c r="B74" s="121" t="n">
        <v>67</v>
      </c>
      <c r="C74" s="122" t="s">
        <v>303</v>
      </c>
      <c r="D74" s="122" t="s">
        <v>306</v>
      </c>
      <c r="E74" s="123"/>
      <c r="F74" s="124" t="n">
        <v>19.8</v>
      </c>
      <c r="G74" s="122" t="s">
        <v>240</v>
      </c>
      <c r="H74" s="122" t="s">
        <v>254</v>
      </c>
      <c r="I74" s="122" t="s">
        <v>288</v>
      </c>
      <c r="J74" s="122"/>
    </row>
    <row r="75" customFormat="false" ht="18.75" hidden="false" customHeight="true" outlineLevel="0" collapsed="false">
      <c r="B75" s="104" t="n">
        <v>68</v>
      </c>
      <c r="C75" s="17" t="s">
        <v>307</v>
      </c>
      <c r="D75" s="17" t="s">
        <v>308</v>
      </c>
      <c r="E75" s="105" t="n">
        <v>460</v>
      </c>
      <c r="F75" s="106"/>
      <c r="G75" s="17" t="s">
        <v>171</v>
      </c>
      <c r="H75" s="17" t="s">
        <v>309</v>
      </c>
      <c r="I75" s="17" t="s">
        <v>288</v>
      </c>
      <c r="J75" s="17"/>
    </row>
    <row r="76" customFormat="false" ht="18.75" hidden="false" customHeight="true" outlineLevel="0" collapsed="false">
      <c r="B76" s="101" t="n">
        <v>69</v>
      </c>
      <c r="C76" s="13" t="s">
        <v>310</v>
      </c>
      <c r="D76" s="13" t="s">
        <v>311</v>
      </c>
      <c r="E76" s="102" t="n">
        <v>468.05</v>
      </c>
      <c r="F76" s="103"/>
      <c r="G76" s="13" t="s">
        <v>171</v>
      </c>
      <c r="H76" s="13" t="s">
        <v>221</v>
      </c>
      <c r="I76" s="13" t="s">
        <v>288</v>
      </c>
      <c r="J76" s="13"/>
    </row>
    <row r="77" customFormat="false" ht="18.75" hidden="false" customHeight="true" outlineLevel="0" collapsed="false">
      <c r="B77" s="104" t="n">
        <v>70</v>
      </c>
      <c r="C77" s="17" t="s">
        <v>310</v>
      </c>
      <c r="D77" s="17" t="s">
        <v>312</v>
      </c>
      <c r="E77" s="105" t="n">
        <v>719.25</v>
      </c>
      <c r="F77" s="106"/>
      <c r="G77" s="17" t="s">
        <v>171</v>
      </c>
      <c r="H77" s="17" t="s">
        <v>221</v>
      </c>
      <c r="I77" s="17" t="s">
        <v>288</v>
      </c>
      <c r="J77" s="17"/>
    </row>
    <row r="78" customFormat="false" ht="18.75" hidden="false" customHeight="true" outlineLevel="0" collapsed="false">
      <c r="B78" s="101" t="n">
        <v>71</v>
      </c>
      <c r="C78" s="13" t="s">
        <v>310</v>
      </c>
      <c r="D78" s="13" t="s">
        <v>313</v>
      </c>
      <c r="E78" s="102" t="n">
        <v>290</v>
      </c>
      <c r="F78" s="103"/>
      <c r="G78" s="13" t="s">
        <v>171</v>
      </c>
      <c r="H78" s="13" t="s">
        <v>221</v>
      </c>
      <c r="I78" s="13" t="s">
        <v>288</v>
      </c>
      <c r="J78" s="13"/>
    </row>
    <row r="79" customFormat="false" ht="18.75" hidden="false" customHeight="true" outlineLevel="0" collapsed="false">
      <c r="B79" s="104" t="n">
        <v>72</v>
      </c>
      <c r="C79" s="17" t="s">
        <v>310</v>
      </c>
      <c r="D79" s="17" t="s">
        <v>314</v>
      </c>
      <c r="E79" s="105" t="n">
        <v>734.7</v>
      </c>
      <c r="F79" s="106"/>
      <c r="G79" s="17" t="s">
        <v>167</v>
      </c>
      <c r="H79" s="17" t="s">
        <v>20</v>
      </c>
      <c r="I79" s="17" t="s">
        <v>288</v>
      </c>
      <c r="J79" s="17"/>
    </row>
    <row r="80" customFormat="false" ht="18.75" hidden="false" customHeight="true" outlineLevel="0" collapsed="false">
      <c r="B80" s="101" t="n">
        <v>73</v>
      </c>
      <c r="C80" s="13" t="s">
        <v>310</v>
      </c>
      <c r="D80" s="13" t="s">
        <v>315</v>
      </c>
      <c r="E80" s="102" t="n">
        <v>1900</v>
      </c>
      <c r="F80" s="103"/>
      <c r="G80" s="13" t="s">
        <v>164</v>
      </c>
      <c r="H80" s="13" t="s">
        <v>316</v>
      </c>
      <c r="I80" s="13" t="s">
        <v>288</v>
      </c>
      <c r="J80" s="13"/>
    </row>
    <row r="81" customFormat="false" ht="18.75" hidden="false" customHeight="true" outlineLevel="0" collapsed="false">
      <c r="B81" s="104" t="n">
        <v>74</v>
      </c>
      <c r="C81" s="17" t="s">
        <v>317</v>
      </c>
      <c r="D81" s="17" t="s">
        <v>318</v>
      </c>
      <c r="E81" s="105" t="n">
        <v>143.5</v>
      </c>
      <c r="F81" s="106"/>
      <c r="G81" s="17" t="s">
        <v>171</v>
      </c>
      <c r="H81" s="17" t="s">
        <v>217</v>
      </c>
      <c r="I81" s="17" t="s">
        <v>288</v>
      </c>
      <c r="J81" s="17"/>
    </row>
    <row r="82" customFormat="false" ht="18.75" hidden="false" customHeight="true" outlineLevel="0" collapsed="false">
      <c r="B82" s="107" t="n">
        <v>75</v>
      </c>
      <c r="C82" s="108" t="s">
        <v>317</v>
      </c>
      <c r="D82" s="108" t="s">
        <v>223</v>
      </c>
      <c r="E82" s="109" t="n">
        <v>98</v>
      </c>
      <c r="F82" s="110"/>
      <c r="G82" s="108" t="s">
        <v>224</v>
      </c>
      <c r="H82" s="108" t="s">
        <v>26</v>
      </c>
      <c r="I82" s="108" t="s">
        <v>288</v>
      </c>
      <c r="J82" s="108"/>
    </row>
    <row r="83" customFormat="false" ht="18.75" hidden="false" customHeight="true" outlineLevel="0" collapsed="false">
      <c r="B83" s="104" t="n">
        <v>76</v>
      </c>
      <c r="C83" s="17" t="s">
        <v>319</v>
      </c>
      <c r="D83" s="17" t="s">
        <v>318</v>
      </c>
      <c r="E83" s="105" t="n">
        <v>1192</v>
      </c>
      <c r="F83" s="106"/>
      <c r="G83" s="17" t="s">
        <v>171</v>
      </c>
      <c r="H83" s="17" t="s">
        <v>217</v>
      </c>
      <c r="I83" s="17" t="s">
        <v>288</v>
      </c>
      <c r="J83" s="17"/>
    </row>
    <row r="84" customFormat="false" ht="18.75" hidden="false" customHeight="true" outlineLevel="0" collapsed="false">
      <c r="B84" s="101" t="n">
        <v>77</v>
      </c>
      <c r="C84" s="13" t="s">
        <v>319</v>
      </c>
      <c r="D84" s="13" t="s">
        <v>320</v>
      </c>
      <c r="E84" s="102" t="n">
        <v>583.08</v>
      </c>
      <c r="F84" s="103"/>
      <c r="G84" s="13" t="s">
        <v>171</v>
      </c>
      <c r="H84" s="13" t="s">
        <v>217</v>
      </c>
      <c r="I84" s="13" t="s">
        <v>288</v>
      </c>
      <c r="J84" s="13" t="s">
        <v>321</v>
      </c>
    </row>
    <row r="85" customFormat="false" ht="18.75" hidden="false" customHeight="true" outlineLevel="0" collapsed="false">
      <c r="B85" s="104" t="n">
        <v>78</v>
      </c>
      <c r="C85" s="17" t="s">
        <v>319</v>
      </c>
      <c r="D85" s="17" t="s">
        <v>322</v>
      </c>
      <c r="E85" s="105" t="n">
        <v>109</v>
      </c>
      <c r="F85" s="106"/>
      <c r="G85" s="17" t="s">
        <v>171</v>
      </c>
      <c r="H85" s="17" t="s">
        <v>217</v>
      </c>
      <c r="I85" s="17" t="s">
        <v>288</v>
      </c>
      <c r="J85" s="17" t="s">
        <v>323</v>
      </c>
    </row>
    <row r="86" customFormat="false" ht="18.75" hidden="false" customHeight="true" outlineLevel="0" collapsed="false">
      <c r="B86" s="101" t="n">
        <v>79</v>
      </c>
      <c r="C86" s="13" t="s">
        <v>324</v>
      </c>
      <c r="D86" s="13" t="s">
        <v>235</v>
      </c>
      <c r="E86" s="102" t="n">
        <v>279</v>
      </c>
      <c r="F86" s="103"/>
      <c r="G86" s="13" t="s">
        <v>176</v>
      </c>
      <c r="H86" s="13" t="s">
        <v>44</v>
      </c>
      <c r="I86" s="13" t="s">
        <v>288</v>
      </c>
      <c r="J86" s="13"/>
    </row>
    <row r="87" customFormat="false" ht="18.75" hidden="false" customHeight="true" outlineLevel="0" collapsed="false">
      <c r="B87" s="113" t="n">
        <v>80</v>
      </c>
      <c r="C87" s="114" t="s">
        <v>325</v>
      </c>
      <c r="D87" s="114" t="s">
        <v>239</v>
      </c>
      <c r="E87" s="115"/>
      <c r="F87" s="116" t="n">
        <v>95.36</v>
      </c>
      <c r="G87" s="114" t="s">
        <v>240</v>
      </c>
      <c r="H87" s="114" t="s">
        <v>241</v>
      </c>
      <c r="I87" s="114" t="s">
        <v>288</v>
      </c>
      <c r="J87" s="114"/>
    </row>
    <row r="88" customFormat="false" ht="18.75" hidden="false" customHeight="true" outlineLevel="0" collapsed="false">
      <c r="B88" s="121" t="n">
        <v>81</v>
      </c>
      <c r="C88" s="122" t="s">
        <v>325</v>
      </c>
      <c r="D88" s="122" t="s">
        <v>239</v>
      </c>
      <c r="E88" s="123"/>
      <c r="F88" s="124" t="n">
        <v>2000</v>
      </c>
      <c r="G88" s="122" t="s">
        <v>240</v>
      </c>
      <c r="H88" s="122" t="s">
        <v>241</v>
      </c>
      <c r="I88" s="122" t="s">
        <v>288</v>
      </c>
      <c r="J88" s="122"/>
    </row>
    <row r="89" customFormat="false" ht="18.75" hidden="false" customHeight="true" outlineLevel="0" collapsed="false">
      <c r="B89" s="117" t="n">
        <v>82</v>
      </c>
      <c r="C89" s="118" t="s">
        <v>326</v>
      </c>
      <c r="D89" s="118" t="s">
        <v>223</v>
      </c>
      <c r="E89" s="119" t="n">
        <v>242.5</v>
      </c>
      <c r="F89" s="120"/>
      <c r="G89" s="118" t="s">
        <v>224</v>
      </c>
      <c r="H89" s="118" t="s">
        <v>26</v>
      </c>
      <c r="I89" s="118" t="s">
        <v>288</v>
      </c>
      <c r="J89" s="118"/>
    </row>
    <row r="90" customFormat="false" ht="18.75" hidden="false" customHeight="true" outlineLevel="0" collapsed="false">
      <c r="B90" s="107" t="n">
        <v>83</v>
      </c>
      <c r="C90" s="108" t="s">
        <v>326</v>
      </c>
      <c r="D90" s="108" t="s">
        <v>327</v>
      </c>
      <c r="E90" s="109" t="n">
        <v>87.89</v>
      </c>
      <c r="F90" s="110"/>
      <c r="G90" s="108" t="s">
        <v>178</v>
      </c>
      <c r="H90" s="108" t="s">
        <v>38</v>
      </c>
      <c r="I90" s="108" t="s">
        <v>288</v>
      </c>
      <c r="J90" s="108"/>
    </row>
    <row r="91" customFormat="false" ht="18.75" hidden="false" customHeight="true" outlineLevel="0" collapsed="false">
      <c r="B91" s="113" t="n">
        <v>84</v>
      </c>
      <c r="C91" s="114" t="s">
        <v>326</v>
      </c>
      <c r="D91" s="114" t="s">
        <v>239</v>
      </c>
      <c r="E91" s="115"/>
      <c r="F91" s="116" t="n">
        <v>5000</v>
      </c>
      <c r="G91" s="114" t="s">
        <v>240</v>
      </c>
      <c r="H91" s="114" t="s">
        <v>241</v>
      </c>
      <c r="I91" s="114" t="s">
        <v>288</v>
      </c>
      <c r="J91" s="114" t="s">
        <v>289</v>
      </c>
    </row>
    <row r="92" customFormat="false" ht="18.75" hidden="false" customHeight="true" outlineLevel="0" collapsed="false">
      <c r="B92" s="101" t="n">
        <v>85</v>
      </c>
      <c r="C92" s="13" t="s">
        <v>326</v>
      </c>
      <c r="D92" s="13" t="s">
        <v>328</v>
      </c>
      <c r="E92" s="102" t="n">
        <v>357</v>
      </c>
      <c r="F92" s="103"/>
      <c r="G92" s="13" t="s">
        <v>171</v>
      </c>
      <c r="H92" s="13" t="s">
        <v>249</v>
      </c>
      <c r="I92" s="13" t="s">
        <v>288</v>
      </c>
      <c r="J92" s="13"/>
    </row>
    <row r="93" customFormat="false" ht="18.75" hidden="false" customHeight="true" outlineLevel="0" collapsed="false">
      <c r="B93" s="104" t="n">
        <v>86</v>
      </c>
      <c r="C93" s="17" t="s">
        <v>326</v>
      </c>
      <c r="D93" s="17" t="s">
        <v>226</v>
      </c>
      <c r="E93" s="105" t="n">
        <v>50</v>
      </c>
      <c r="F93" s="106"/>
      <c r="G93" s="17" t="s">
        <v>174</v>
      </c>
      <c r="H93" s="17" t="s">
        <v>41</v>
      </c>
      <c r="I93" s="17" t="s">
        <v>288</v>
      </c>
      <c r="J93" s="17" t="s">
        <v>228</v>
      </c>
    </row>
    <row r="94" customFormat="false" ht="18.75" hidden="false" customHeight="true" outlineLevel="0" collapsed="false">
      <c r="B94" s="107" t="n">
        <v>87</v>
      </c>
      <c r="C94" s="108" t="s">
        <v>329</v>
      </c>
      <c r="D94" s="108" t="s">
        <v>223</v>
      </c>
      <c r="E94" s="109" t="n">
        <v>484</v>
      </c>
      <c r="F94" s="110"/>
      <c r="G94" s="108" t="s">
        <v>224</v>
      </c>
      <c r="H94" s="108" t="s">
        <v>26</v>
      </c>
      <c r="I94" s="108" t="s">
        <v>330</v>
      </c>
      <c r="J94" s="108"/>
    </row>
    <row r="95" customFormat="false" ht="18.75" hidden="false" customHeight="true" outlineLevel="0" collapsed="false">
      <c r="B95" s="104" t="n">
        <v>88</v>
      </c>
      <c r="C95" s="17" t="s">
        <v>331</v>
      </c>
      <c r="D95" s="17" t="s">
        <v>318</v>
      </c>
      <c r="E95" s="105" t="n">
        <v>378.49</v>
      </c>
      <c r="F95" s="106"/>
      <c r="G95" s="17" t="s">
        <v>171</v>
      </c>
      <c r="H95" s="17" t="s">
        <v>217</v>
      </c>
      <c r="I95" s="17" t="s">
        <v>330</v>
      </c>
      <c r="J95" s="17"/>
    </row>
    <row r="96" customFormat="false" ht="18.75" hidden="false" customHeight="true" outlineLevel="0" collapsed="false">
      <c r="B96" s="101" t="n">
        <v>89</v>
      </c>
      <c r="C96" s="13" t="s">
        <v>331</v>
      </c>
      <c r="D96" s="13" t="s">
        <v>332</v>
      </c>
      <c r="E96" s="102" t="n">
        <v>1010.03</v>
      </c>
      <c r="F96" s="103"/>
      <c r="G96" s="13" t="s">
        <v>167</v>
      </c>
      <c r="H96" s="13" t="s">
        <v>20</v>
      </c>
      <c r="I96" s="13" t="s">
        <v>330</v>
      </c>
      <c r="J96" s="13"/>
    </row>
    <row r="97" customFormat="false" ht="18.75" hidden="false" customHeight="true" outlineLevel="0" collapsed="false">
      <c r="B97" s="104" t="n">
        <v>90</v>
      </c>
      <c r="C97" s="17" t="s">
        <v>331</v>
      </c>
      <c r="D97" s="17" t="s">
        <v>226</v>
      </c>
      <c r="E97" s="105" t="n">
        <v>250</v>
      </c>
      <c r="F97" s="106"/>
      <c r="G97" s="17" t="s">
        <v>174</v>
      </c>
      <c r="H97" s="17" t="s">
        <v>41</v>
      </c>
      <c r="I97" s="17" t="s">
        <v>330</v>
      </c>
      <c r="J97" s="17" t="s">
        <v>228</v>
      </c>
    </row>
    <row r="98" customFormat="false" ht="18.75" hidden="false" customHeight="true" outlineLevel="0" collapsed="false">
      <c r="B98" s="101" t="n">
        <v>91</v>
      </c>
      <c r="C98" s="13" t="s">
        <v>333</v>
      </c>
      <c r="D98" s="13" t="s">
        <v>318</v>
      </c>
      <c r="E98" s="102" t="n">
        <v>1238.96</v>
      </c>
      <c r="F98" s="103"/>
      <c r="G98" s="13" t="s">
        <v>171</v>
      </c>
      <c r="H98" s="13" t="s">
        <v>217</v>
      </c>
      <c r="I98" s="13" t="s">
        <v>330</v>
      </c>
      <c r="J98" s="13"/>
    </row>
    <row r="99" customFormat="false" ht="18.75" hidden="false" customHeight="true" outlineLevel="0" collapsed="false">
      <c r="B99" s="104" t="n">
        <v>92</v>
      </c>
      <c r="C99" s="17" t="s">
        <v>334</v>
      </c>
      <c r="D99" s="17" t="s">
        <v>318</v>
      </c>
      <c r="E99" s="105" t="n">
        <v>1802.7</v>
      </c>
      <c r="F99" s="106"/>
      <c r="G99" s="17" t="s">
        <v>171</v>
      </c>
      <c r="H99" s="17" t="s">
        <v>217</v>
      </c>
      <c r="I99" s="17" t="s">
        <v>330</v>
      </c>
      <c r="J99" s="17"/>
    </row>
    <row r="100" customFormat="false" ht="18.75" hidden="false" customHeight="true" outlineLevel="0" collapsed="false">
      <c r="B100" s="107" t="n">
        <v>93</v>
      </c>
      <c r="C100" s="108" t="s">
        <v>334</v>
      </c>
      <c r="D100" s="108" t="s">
        <v>223</v>
      </c>
      <c r="E100" s="109" t="n">
        <v>98</v>
      </c>
      <c r="F100" s="110"/>
      <c r="G100" s="108" t="s">
        <v>224</v>
      </c>
      <c r="H100" s="108" t="s">
        <v>26</v>
      </c>
      <c r="I100" s="108" t="s">
        <v>330</v>
      </c>
      <c r="J100" s="108"/>
    </row>
    <row r="101" customFormat="false" ht="18.75" hidden="false" customHeight="true" outlineLevel="0" collapsed="false">
      <c r="B101" s="113" t="n">
        <v>94</v>
      </c>
      <c r="C101" s="114" t="s">
        <v>334</v>
      </c>
      <c r="D101" s="114" t="s">
        <v>239</v>
      </c>
      <c r="E101" s="115"/>
      <c r="F101" s="116" t="n">
        <v>2000</v>
      </c>
      <c r="G101" s="114" t="s">
        <v>240</v>
      </c>
      <c r="H101" s="114" t="s">
        <v>241</v>
      </c>
      <c r="I101" s="114" t="s">
        <v>330</v>
      </c>
      <c r="J101" s="114"/>
    </row>
    <row r="102" customFormat="false" ht="18.75" hidden="false" customHeight="true" outlineLevel="0" collapsed="false">
      <c r="B102" s="101" t="n">
        <v>95</v>
      </c>
      <c r="C102" s="13" t="s">
        <v>334</v>
      </c>
      <c r="D102" s="13" t="s">
        <v>226</v>
      </c>
      <c r="E102" s="102" t="n">
        <v>50</v>
      </c>
      <c r="F102" s="103"/>
      <c r="G102" s="13" t="s">
        <v>174</v>
      </c>
      <c r="H102" s="13" t="s">
        <v>41</v>
      </c>
      <c r="I102" s="13" t="s">
        <v>330</v>
      </c>
      <c r="J102" s="13" t="s">
        <v>228</v>
      </c>
    </row>
    <row r="103" customFormat="false" ht="18.75" hidden="false" customHeight="true" outlineLevel="0" collapsed="false">
      <c r="B103" s="104" t="n">
        <v>96</v>
      </c>
      <c r="C103" s="17" t="s">
        <v>335</v>
      </c>
      <c r="D103" s="17" t="s">
        <v>261</v>
      </c>
      <c r="E103" s="105" t="n">
        <v>900</v>
      </c>
      <c r="F103" s="106"/>
      <c r="G103" s="17" t="s">
        <v>29</v>
      </c>
      <c r="H103" s="17" t="s">
        <v>262</v>
      </c>
      <c r="I103" s="17" t="s">
        <v>330</v>
      </c>
      <c r="J103" s="17"/>
    </row>
    <row r="104" customFormat="false" ht="18.75" hidden="false" customHeight="true" outlineLevel="0" collapsed="false">
      <c r="B104" s="107" t="n">
        <v>97</v>
      </c>
      <c r="C104" s="108" t="s">
        <v>335</v>
      </c>
      <c r="D104" s="108" t="s">
        <v>336</v>
      </c>
      <c r="E104" s="109" t="n">
        <v>100</v>
      </c>
      <c r="F104" s="110"/>
      <c r="G104" s="108" t="s">
        <v>224</v>
      </c>
      <c r="H104" s="108" t="s">
        <v>26</v>
      </c>
      <c r="I104" s="108" t="s">
        <v>330</v>
      </c>
      <c r="J104" s="108"/>
    </row>
    <row r="105" customFormat="false" ht="18.75" hidden="false" customHeight="true" outlineLevel="0" collapsed="false">
      <c r="B105" s="104" t="n">
        <v>98</v>
      </c>
      <c r="C105" s="17" t="s">
        <v>337</v>
      </c>
      <c r="D105" s="17" t="s">
        <v>338</v>
      </c>
      <c r="E105" s="105" t="n">
        <v>585.34</v>
      </c>
      <c r="F105" s="106"/>
      <c r="G105" s="17" t="s">
        <v>179</v>
      </c>
      <c r="H105" s="17" t="s">
        <v>339</v>
      </c>
      <c r="I105" s="17" t="s">
        <v>330</v>
      </c>
      <c r="J105" s="17" t="s">
        <v>297</v>
      </c>
    </row>
    <row r="106" customFormat="false" ht="18.75" hidden="false" customHeight="true" outlineLevel="0" collapsed="false">
      <c r="B106" s="101" t="n">
        <v>99</v>
      </c>
      <c r="C106" s="13" t="s">
        <v>337</v>
      </c>
      <c r="D106" s="13" t="s">
        <v>340</v>
      </c>
      <c r="E106" s="102" t="n">
        <v>405</v>
      </c>
      <c r="F106" s="103"/>
      <c r="G106" s="13" t="s">
        <v>171</v>
      </c>
      <c r="H106" s="13" t="s">
        <v>221</v>
      </c>
      <c r="I106" s="13" t="s">
        <v>330</v>
      </c>
      <c r="J106" s="13"/>
    </row>
    <row r="107" customFormat="false" ht="18.75" hidden="false" customHeight="true" outlineLevel="0" collapsed="false">
      <c r="B107" s="104" t="n">
        <v>100</v>
      </c>
      <c r="C107" s="17" t="s">
        <v>337</v>
      </c>
      <c r="D107" s="17" t="s">
        <v>341</v>
      </c>
      <c r="E107" s="105" t="n">
        <v>709.96</v>
      </c>
      <c r="F107" s="106"/>
      <c r="G107" s="17" t="s">
        <v>171</v>
      </c>
      <c r="H107" s="17" t="s">
        <v>221</v>
      </c>
      <c r="I107" s="17" t="s">
        <v>330</v>
      </c>
      <c r="J107" s="17"/>
    </row>
    <row r="108" customFormat="false" ht="18.75" hidden="false" customHeight="true" outlineLevel="0" collapsed="false">
      <c r="B108" s="107" t="n">
        <v>101</v>
      </c>
      <c r="C108" s="108" t="s">
        <v>337</v>
      </c>
      <c r="D108" s="108" t="s">
        <v>223</v>
      </c>
      <c r="E108" s="109" t="n">
        <v>98</v>
      </c>
      <c r="F108" s="110"/>
      <c r="G108" s="108" t="s">
        <v>224</v>
      </c>
      <c r="H108" s="108" t="s">
        <v>26</v>
      </c>
      <c r="I108" s="108" t="s">
        <v>330</v>
      </c>
      <c r="J108" s="108"/>
    </row>
    <row r="109" customFormat="false" ht="18.75" hidden="false" customHeight="true" outlineLevel="0" collapsed="false">
      <c r="B109" s="113" t="n">
        <v>102</v>
      </c>
      <c r="C109" s="114" t="s">
        <v>342</v>
      </c>
      <c r="D109" s="114" t="s">
        <v>239</v>
      </c>
      <c r="E109" s="115"/>
      <c r="F109" s="116" t="n">
        <v>400</v>
      </c>
      <c r="G109" s="114" t="s">
        <v>240</v>
      </c>
      <c r="H109" s="114" t="s">
        <v>241</v>
      </c>
      <c r="I109" s="114" t="s">
        <v>330</v>
      </c>
      <c r="J109" s="114"/>
    </row>
    <row r="110" customFormat="false" ht="18.75" hidden="false" customHeight="true" outlineLevel="0" collapsed="false">
      <c r="B110" s="101" t="n">
        <v>103</v>
      </c>
      <c r="C110" s="13" t="s">
        <v>342</v>
      </c>
      <c r="D110" s="13" t="s">
        <v>275</v>
      </c>
      <c r="E110" s="102" t="n">
        <v>369</v>
      </c>
      <c r="F110" s="103"/>
      <c r="G110" s="13" t="s">
        <v>174</v>
      </c>
      <c r="H110" s="13" t="s">
        <v>276</v>
      </c>
      <c r="I110" s="13" t="s">
        <v>330</v>
      </c>
      <c r="J110" s="13"/>
    </row>
    <row r="111" customFormat="false" ht="18.75" hidden="false" customHeight="true" outlineLevel="0" collapsed="false">
      <c r="B111" s="104" t="n">
        <v>104</v>
      </c>
      <c r="C111" s="17" t="s">
        <v>343</v>
      </c>
      <c r="D111" s="17" t="s">
        <v>344</v>
      </c>
      <c r="E111" s="105" t="n">
        <v>88.2</v>
      </c>
      <c r="F111" s="106"/>
      <c r="G111" s="17" t="s">
        <v>29</v>
      </c>
      <c r="H111" s="17" t="s">
        <v>281</v>
      </c>
      <c r="I111" s="17" t="s">
        <v>330</v>
      </c>
      <c r="J111" s="17"/>
    </row>
    <row r="112" customFormat="false" ht="18.75" hidden="false" customHeight="true" outlineLevel="0" collapsed="false">
      <c r="B112" s="107" t="n">
        <v>105</v>
      </c>
      <c r="C112" s="108" t="s">
        <v>343</v>
      </c>
      <c r="D112" s="108" t="s">
        <v>223</v>
      </c>
      <c r="E112" s="109" t="n">
        <v>102.5</v>
      </c>
      <c r="F112" s="110"/>
      <c r="G112" s="108" t="s">
        <v>224</v>
      </c>
      <c r="H112" s="108" t="s">
        <v>26</v>
      </c>
      <c r="I112" s="108" t="s">
        <v>330</v>
      </c>
      <c r="J112" s="108"/>
    </row>
    <row r="113" customFormat="false" ht="18.75" hidden="false" customHeight="true" outlineLevel="0" collapsed="false">
      <c r="B113" s="104" t="n">
        <v>106</v>
      </c>
      <c r="C113" s="17" t="s">
        <v>343</v>
      </c>
      <c r="D113" s="17" t="s">
        <v>230</v>
      </c>
      <c r="E113" s="105" t="n">
        <v>82</v>
      </c>
      <c r="F113" s="106"/>
      <c r="G113" s="17" t="s">
        <v>29</v>
      </c>
      <c r="H113" s="17" t="s">
        <v>231</v>
      </c>
      <c r="I113" s="17" t="s">
        <v>330</v>
      </c>
      <c r="J113" s="17"/>
    </row>
    <row r="114" customFormat="false" ht="18.75" hidden="false" customHeight="true" outlineLevel="0" collapsed="false">
      <c r="B114" s="107" t="n">
        <v>107</v>
      </c>
      <c r="C114" s="108" t="s">
        <v>345</v>
      </c>
      <c r="D114" s="108" t="s">
        <v>223</v>
      </c>
      <c r="E114" s="109" t="n">
        <v>98</v>
      </c>
      <c r="F114" s="110"/>
      <c r="G114" s="108" t="s">
        <v>224</v>
      </c>
      <c r="H114" s="108" t="s">
        <v>26</v>
      </c>
      <c r="I114" s="108" t="s">
        <v>330</v>
      </c>
      <c r="J114" s="108"/>
    </row>
    <row r="115" customFormat="false" ht="18.75" hidden="false" customHeight="true" outlineLevel="0" collapsed="false">
      <c r="B115" s="104" t="n">
        <v>108</v>
      </c>
      <c r="C115" s="17" t="s">
        <v>345</v>
      </c>
      <c r="D115" s="17" t="s">
        <v>346</v>
      </c>
      <c r="E115" s="105" t="n">
        <v>934.71</v>
      </c>
      <c r="F115" s="106"/>
      <c r="G115" s="17" t="s">
        <v>167</v>
      </c>
      <c r="H115" s="17" t="s">
        <v>20</v>
      </c>
      <c r="I115" s="17" t="s">
        <v>330</v>
      </c>
      <c r="J115" s="17"/>
    </row>
    <row r="116" customFormat="false" ht="18.75" hidden="false" customHeight="true" outlineLevel="0" collapsed="false">
      <c r="B116" s="107" t="n">
        <v>109</v>
      </c>
      <c r="C116" s="108" t="s">
        <v>347</v>
      </c>
      <c r="D116" s="108" t="s">
        <v>223</v>
      </c>
      <c r="E116" s="109" t="n">
        <v>129.4</v>
      </c>
      <c r="F116" s="110"/>
      <c r="G116" s="108" t="s">
        <v>224</v>
      </c>
      <c r="H116" s="108" t="s">
        <v>26</v>
      </c>
      <c r="I116" s="108" t="s">
        <v>330</v>
      </c>
      <c r="J116" s="108"/>
    </row>
    <row r="117" customFormat="false" ht="18.75" hidden="false" customHeight="true" outlineLevel="0" collapsed="false">
      <c r="B117" s="104" t="n">
        <v>110</v>
      </c>
      <c r="C117" s="17" t="s">
        <v>347</v>
      </c>
      <c r="D117" s="17" t="s">
        <v>348</v>
      </c>
      <c r="E117" s="105" t="n">
        <v>60</v>
      </c>
      <c r="F117" s="106"/>
      <c r="G117" s="17" t="s">
        <v>174</v>
      </c>
      <c r="H117" s="17" t="s">
        <v>349</v>
      </c>
      <c r="I117" s="17" t="s">
        <v>330</v>
      </c>
      <c r="J117" s="17"/>
    </row>
    <row r="118" customFormat="false" ht="18.75" hidden="false" customHeight="true" outlineLevel="0" collapsed="false">
      <c r="B118" s="121" t="n">
        <v>111</v>
      </c>
      <c r="C118" s="122" t="s">
        <v>350</v>
      </c>
      <c r="D118" s="122" t="s">
        <v>239</v>
      </c>
      <c r="E118" s="123"/>
      <c r="F118" s="124" t="n">
        <v>500</v>
      </c>
      <c r="G118" s="122" t="s">
        <v>240</v>
      </c>
      <c r="H118" s="122" t="s">
        <v>241</v>
      </c>
      <c r="I118" s="122" t="s">
        <v>330</v>
      </c>
      <c r="J118" s="122"/>
    </row>
    <row r="119" customFormat="false" ht="18.75" hidden="false" customHeight="true" outlineLevel="0" collapsed="false">
      <c r="B119" s="104" t="n">
        <v>112</v>
      </c>
      <c r="C119" s="17" t="s">
        <v>350</v>
      </c>
      <c r="D119" s="17" t="s">
        <v>226</v>
      </c>
      <c r="E119" s="105" t="n">
        <v>150</v>
      </c>
      <c r="F119" s="106"/>
      <c r="G119" s="17" t="s">
        <v>174</v>
      </c>
      <c r="H119" s="17" t="s">
        <v>41</v>
      </c>
      <c r="I119" s="17" t="s">
        <v>330</v>
      </c>
      <c r="J119" s="17" t="s">
        <v>228</v>
      </c>
    </row>
    <row r="120" customFormat="false" ht="18.75" hidden="false" customHeight="true" outlineLevel="0" collapsed="false">
      <c r="B120" s="101" t="n">
        <v>113</v>
      </c>
      <c r="C120" s="13" t="s">
        <v>351</v>
      </c>
      <c r="D120" s="13" t="s">
        <v>352</v>
      </c>
      <c r="E120" s="102" t="n">
        <v>71</v>
      </c>
      <c r="F120" s="103"/>
      <c r="G120" s="13" t="s">
        <v>171</v>
      </c>
      <c r="H120" s="13" t="s">
        <v>221</v>
      </c>
      <c r="I120" s="13" t="s">
        <v>330</v>
      </c>
      <c r="J120" s="13"/>
    </row>
    <row r="121" customFormat="false" ht="18.75" hidden="false" customHeight="true" outlineLevel="0" collapsed="false">
      <c r="B121" s="104" t="n">
        <v>114</v>
      </c>
      <c r="C121" s="17" t="s">
        <v>351</v>
      </c>
      <c r="D121" s="17" t="s">
        <v>226</v>
      </c>
      <c r="E121" s="105" t="n">
        <v>50</v>
      </c>
      <c r="F121" s="106"/>
      <c r="G121" s="17" t="s">
        <v>174</v>
      </c>
      <c r="H121" s="17" t="s">
        <v>41</v>
      </c>
      <c r="I121" s="17" t="s">
        <v>330</v>
      </c>
      <c r="J121" s="17" t="s">
        <v>228</v>
      </c>
    </row>
    <row r="122" customFormat="false" ht="18.75" hidden="false" customHeight="true" outlineLevel="0" collapsed="false">
      <c r="B122" s="101" t="n">
        <v>115</v>
      </c>
      <c r="C122" s="13" t="s">
        <v>353</v>
      </c>
      <c r="D122" s="13" t="s">
        <v>237</v>
      </c>
      <c r="E122" s="102" t="n">
        <v>828</v>
      </c>
      <c r="F122" s="103"/>
      <c r="G122" s="13" t="s">
        <v>171</v>
      </c>
      <c r="H122" s="13" t="s">
        <v>217</v>
      </c>
      <c r="I122" s="13" t="s">
        <v>330</v>
      </c>
      <c r="J122" s="13"/>
    </row>
    <row r="123" customFormat="false" ht="18.75" hidden="false" customHeight="true" outlineLevel="0" collapsed="false">
      <c r="B123" s="104" t="n">
        <v>116</v>
      </c>
      <c r="C123" s="17" t="s">
        <v>353</v>
      </c>
      <c r="D123" s="17" t="s">
        <v>354</v>
      </c>
      <c r="E123" s="105" t="n">
        <v>73.56</v>
      </c>
      <c r="F123" s="106"/>
      <c r="G123" s="17" t="s">
        <v>171</v>
      </c>
      <c r="H123" s="17" t="s">
        <v>217</v>
      </c>
      <c r="I123" s="17" t="s">
        <v>330</v>
      </c>
      <c r="J123" s="17"/>
    </row>
    <row r="124" customFormat="false" ht="18.75" hidden="false" customHeight="true" outlineLevel="0" collapsed="false">
      <c r="B124" s="107" t="n">
        <v>117</v>
      </c>
      <c r="C124" s="108" t="s">
        <v>353</v>
      </c>
      <c r="D124" s="108" t="s">
        <v>223</v>
      </c>
      <c r="E124" s="109" t="n">
        <v>105.9</v>
      </c>
      <c r="F124" s="110"/>
      <c r="G124" s="108" t="s">
        <v>224</v>
      </c>
      <c r="H124" s="108" t="s">
        <v>26</v>
      </c>
      <c r="I124" s="108" t="s">
        <v>330</v>
      </c>
      <c r="J124" s="108"/>
    </row>
    <row r="125" customFormat="false" ht="18.75" hidden="false" customHeight="true" outlineLevel="0" collapsed="false">
      <c r="B125" s="117" t="n">
        <v>118</v>
      </c>
      <c r="C125" s="118" t="s">
        <v>353</v>
      </c>
      <c r="D125" s="118" t="s">
        <v>223</v>
      </c>
      <c r="E125" s="119" t="n">
        <v>98</v>
      </c>
      <c r="F125" s="120"/>
      <c r="G125" s="118" t="s">
        <v>224</v>
      </c>
      <c r="H125" s="118" t="s">
        <v>26</v>
      </c>
      <c r="I125" s="118" t="s">
        <v>330</v>
      </c>
      <c r="J125" s="118"/>
    </row>
    <row r="126" customFormat="false" ht="18.75" hidden="false" customHeight="true" outlineLevel="0" collapsed="false">
      <c r="B126" s="121" t="n">
        <v>119</v>
      </c>
      <c r="C126" s="122" t="s">
        <v>353</v>
      </c>
      <c r="D126" s="122" t="s">
        <v>239</v>
      </c>
      <c r="E126" s="123"/>
      <c r="F126" s="124" t="n">
        <v>300</v>
      </c>
      <c r="G126" s="122" t="s">
        <v>240</v>
      </c>
      <c r="H126" s="122" t="s">
        <v>241</v>
      </c>
      <c r="I126" s="122" t="s">
        <v>330</v>
      </c>
      <c r="J126" s="122"/>
    </row>
    <row r="127" customFormat="false" ht="18.75" hidden="false" customHeight="true" outlineLevel="0" collapsed="false">
      <c r="B127" s="104" t="n">
        <v>120</v>
      </c>
      <c r="C127" s="17" t="s">
        <v>353</v>
      </c>
      <c r="D127" s="17" t="s">
        <v>328</v>
      </c>
      <c r="E127" s="105" t="n">
        <v>440</v>
      </c>
      <c r="F127" s="106"/>
      <c r="G127" s="17" t="s">
        <v>171</v>
      </c>
      <c r="H127" s="17" t="s">
        <v>249</v>
      </c>
      <c r="I127" s="17" t="s">
        <v>330</v>
      </c>
      <c r="J127" s="17"/>
    </row>
    <row r="128" customFormat="false" ht="18.75" hidden="false" customHeight="true" outlineLevel="0" collapsed="false">
      <c r="B128" s="107" t="n">
        <v>121</v>
      </c>
      <c r="C128" s="108" t="s">
        <v>355</v>
      </c>
      <c r="D128" s="108" t="s">
        <v>223</v>
      </c>
      <c r="E128" s="109" t="n">
        <v>152.5</v>
      </c>
      <c r="F128" s="110"/>
      <c r="G128" s="108" t="s">
        <v>224</v>
      </c>
      <c r="H128" s="108" t="s">
        <v>26</v>
      </c>
      <c r="I128" s="108" t="s">
        <v>356</v>
      </c>
      <c r="J128" s="108"/>
    </row>
    <row r="129" customFormat="false" ht="18.75" hidden="false" customHeight="true" outlineLevel="0" collapsed="false">
      <c r="B129" s="113" t="n">
        <v>122</v>
      </c>
      <c r="C129" s="114" t="s">
        <v>355</v>
      </c>
      <c r="D129" s="114" t="s">
        <v>239</v>
      </c>
      <c r="E129" s="115"/>
      <c r="F129" s="116" t="n">
        <v>5000</v>
      </c>
      <c r="G129" s="114" t="s">
        <v>240</v>
      </c>
      <c r="H129" s="114" t="s">
        <v>241</v>
      </c>
      <c r="I129" s="114" t="s">
        <v>356</v>
      </c>
      <c r="J129" s="114" t="s">
        <v>289</v>
      </c>
    </row>
    <row r="130" customFormat="false" ht="18.75" hidden="false" customHeight="true" outlineLevel="0" collapsed="false">
      <c r="B130" s="101" t="n">
        <v>123</v>
      </c>
      <c r="C130" s="13" t="s">
        <v>357</v>
      </c>
      <c r="D130" s="13" t="s">
        <v>266</v>
      </c>
      <c r="E130" s="102" t="n">
        <v>935.6</v>
      </c>
      <c r="F130" s="103"/>
      <c r="G130" s="13" t="s">
        <v>167</v>
      </c>
      <c r="H130" s="13" t="s">
        <v>20</v>
      </c>
      <c r="I130" s="13" t="s">
        <v>356</v>
      </c>
      <c r="J130" s="13"/>
    </row>
    <row r="131" customFormat="false" ht="18.75" hidden="false" customHeight="true" outlineLevel="0" collapsed="false">
      <c r="B131" s="104" t="n">
        <v>124</v>
      </c>
      <c r="C131" s="17" t="s">
        <v>357</v>
      </c>
      <c r="D131" s="17" t="s">
        <v>216</v>
      </c>
      <c r="E131" s="105" t="n">
        <v>700.8</v>
      </c>
      <c r="F131" s="106"/>
      <c r="G131" s="17" t="s">
        <v>171</v>
      </c>
      <c r="H131" s="17" t="s">
        <v>217</v>
      </c>
      <c r="I131" s="17" t="s">
        <v>356</v>
      </c>
      <c r="J131" s="17"/>
    </row>
    <row r="132" customFormat="false" ht="18.75" hidden="false" customHeight="true" outlineLevel="0" collapsed="false">
      <c r="B132" s="101" t="n">
        <v>125</v>
      </c>
      <c r="C132" s="13" t="s">
        <v>357</v>
      </c>
      <c r="D132" s="13" t="s">
        <v>358</v>
      </c>
      <c r="E132" s="102" t="n">
        <v>20</v>
      </c>
      <c r="F132" s="103"/>
      <c r="G132" s="13" t="s">
        <v>171</v>
      </c>
      <c r="H132" s="13" t="s">
        <v>221</v>
      </c>
      <c r="I132" s="13" t="s">
        <v>356</v>
      </c>
      <c r="J132" s="13" t="s">
        <v>359</v>
      </c>
    </row>
    <row r="133" customFormat="false" ht="18.75" hidden="false" customHeight="true" outlineLevel="0" collapsed="false">
      <c r="B133" s="104" t="n">
        <v>126</v>
      </c>
      <c r="C133" s="17" t="s">
        <v>357</v>
      </c>
      <c r="D133" s="17" t="s">
        <v>216</v>
      </c>
      <c r="E133" s="105" t="n">
        <v>3285.75</v>
      </c>
      <c r="F133" s="106"/>
      <c r="G133" s="17" t="s">
        <v>171</v>
      </c>
      <c r="H133" s="17" t="s">
        <v>217</v>
      </c>
      <c r="I133" s="17" t="s">
        <v>356</v>
      </c>
      <c r="J133" s="17"/>
    </row>
    <row r="134" customFormat="false" ht="18.75" hidden="false" customHeight="true" outlineLevel="0" collapsed="false">
      <c r="B134" s="101" t="n">
        <v>127</v>
      </c>
      <c r="C134" s="13" t="s">
        <v>360</v>
      </c>
      <c r="D134" s="13" t="s">
        <v>361</v>
      </c>
      <c r="E134" s="102" t="n">
        <v>353.63</v>
      </c>
      <c r="F134" s="103"/>
      <c r="G134" s="13" t="s">
        <v>171</v>
      </c>
      <c r="H134" s="13" t="s">
        <v>217</v>
      </c>
      <c r="I134" s="13" t="s">
        <v>356</v>
      </c>
      <c r="J134" s="13"/>
    </row>
    <row r="135" customFormat="false" ht="18.75" hidden="false" customHeight="true" outlineLevel="0" collapsed="false">
      <c r="B135" s="104" t="n">
        <v>128</v>
      </c>
      <c r="C135" s="17" t="s">
        <v>360</v>
      </c>
      <c r="D135" s="17" t="s">
        <v>361</v>
      </c>
      <c r="E135" s="105" t="n">
        <v>134.4</v>
      </c>
      <c r="F135" s="106"/>
      <c r="G135" s="17" t="s">
        <v>171</v>
      </c>
      <c r="H135" s="17" t="s">
        <v>217</v>
      </c>
      <c r="I135" s="17" t="s">
        <v>356</v>
      </c>
      <c r="J135" s="17"/>
    </row>
    <row r="136" customFormat="false" ht="18.75" hidden="false" customHeight="true" outlineLevel="0" collapsed="false">
      <c r="B136" s="101" t="n">
        <v>129</v>
      </c>
      <c r="C136" s="13" t="s">
        <v>360</v>
      </c>
      <c r="D136" s="13" t="s">
        <v>362</v>
      </c>
      <c r="E136" s="102" t="n">
        <v>19.99</v>
      </c>
      <c r="F136" s="103"/>
      <c r="G136" s="13" t="s">
        <v>185</v>
      </c>
      <c r="H136" s="13" t="s">
        <v>363</v>
      </c>
      <c r="I136" s="13" t="s">
        <v>356</v>
      </c>
      <c r="J136" s="13"/>
    </row>
    <row r="137" customFormat="false" ht="18.75" hidden="false" customHeight="true" outlineLevel="0" collapsed="false">
      <c r="B137" s="104" t="n">
        <v>130</v>
      </c>
      <c r="C137" s="17" t="s">
        <v>360</v>
      </c>
      <c r="D137" s="17" t="s">
        <v>308</v>
      </c>
      <c r="E137" s="105" t="n">
        <v>197</v>
      </c>
      <c r="F137" s="106"/>
      <c r="G137" s="17" t="s">
        <v>171</v>
      </c>
      <c r="H137" s="17" t="s">
        <v>309</v>
      </c>
      <c r="I137" s="17" t="s">
        <v>356</v>
      </c>
      <c r="J137" s="17"/>
    </row>
    <row r="138" customFormat="false" ht="18.75" hidden="false" customHeight="true" outlineLevel="0" collapsed="false">
      <c r="B138" s="101" t="n">
        <v>131</v>
      </c>
      <c r="C138" s="13" t="s">
        <v>360</v>
      </c>
      <c r="D138" s="13" t="s">
        <v>364</v>
      </c>
      <c r="E138" s="102" t="n">
        <v>90.15</v>
      </c>
      <c r="F138" s="103"/>
      <c r="G138" s="13" t="s">
        <v>167</v>
      </c>
      <c r="H138" s="13" t="s">
        <v>365</v>
      </c>
      <c r="I138" s="13" t="s">
        <v>356</v>
      </c>
      <c r="J138" s="13"/>
    </row>
    <row r="139" customFormat="false" ht="18.75" hidden="false" customHeight="true" outlineLevel="0" collapsed="false">
      <c r="B139" s="104" t="n">
        <v>132</v>
      </c>
      <c r="C139" s="17" t="s">
        <v>360</v>
      </c>
      <c r="D139" s="17" t="s">
        <v>364</v>
      </c>
      <c r="E139" s="105" t="n">
        <v>10</v>
      </c>
      <c r="F139" s="106"/>
      <c r="G139" s="17" t="s">
        <v>167</v>
      </c>
      <c r="H139" s="17" t="s">
        <v>365</v>
      </c>
      <c r="I139" s="17" t="s">
        <v>356</v>
      </c>
      <c r="J139" s="17"/>
    </row>
    <row r="140" customFormat="false" ht="18.75" hidden="false" customHeight="true" outlineLevel="0" collapsed="false">
      <c r="B140" s="129" t="n">
        <v>133</v>
      </c>
      <c r="C140" s="130" t="s">
        <v>366</v>
      </c>
      <c r="D140" s="130" t="s">
        <v>367</v>
      </c>
      <c r="E140" s="131" t="n">
        <v>535</v>
      </c>
      <c r="F140" s="132"/>
      <c r="G140" s="130" t="s">
        <v>368</v>
      </c>
      <c r="H140" s="130" t="s">
        <v>369</v>
      </c>
      <c r="I140" s="130" t="s">
        <v>356</v>
      </c>
      <c r="J140" s="130" t="s">
        <v>370</v>
      </c>
    </row>
    <row r="141" customFormat="false" ht="18.75" hidden="false" customHeight="true" outlineLevel="0" collapsed="false">
      <c r="B141" s="133" t="n">
        <v>134</v>
      </c>
      <c r="C141" s="134" t="s">
        <v>371</v>
      </c>
      <c r="D141" s="134" t="s">
        <v>372</v>
      </c>
      <c r="E141" s="135" t="n">
        <v>74.5</v>
      </c>
      <c r="F141" s="136"/>
      <c r="G141" s="134" t="s">
        <v>224</v>
      </c>
      <c r="H141" s="134" t="s">
        <v>373</v>
      </c>
      <c r="I141" s="134" t="s">
        <v>356</v>
      </c>
      <c r="J141" s="134" t="s">
        <v>370</v>
      </c>
    </row>
    <row r="142" customFormat="false" ht="18.75" hidden="false" customHeight="true" outlineLevel="0" collapsed="false">
      <c r="B142" s="129" t="n">
        <v>135</v>
      </c>
      <c r="C142" s="130" t="s">
        <v>374</v>
      </c>
      <c r="D142" s="130" t="s">
        <v>375</v>
      </c>
      <c r="E142" s="131" t="n">
        <v>400</v>
      </c>
      <c r="F142" s="132"/>
      <c r="G142" s="130" t="s">
        <v>171</v>
      </c>
      <c r="H142" s="130" t="s">
        <v>376</v>
      </c>
      <c r="I142" s="130" t="s">
        <v>356</v>
      </c>
      <c r="J142" s="130" t="s">
        <v>370</v>
      </c>
    </row>
    <row r="143" customFormat="false" ht="25.5" hidden="false" customHeight="true" outlineLevel="0" collapsed="false">
      <c r="B143" s="65" t="s">
        <v>377</v>
      </c>
      <c r="C143" s="65"/>
      <c r="D143" s="65"/>
      <c r="E143" s="137" t="n">
        <f aca="false">SUM(E8:E142)</f>
        <v>50145.15</v>
      </c>
      <c r="F143" s="137" t="n">
        <f aca="false">SUM(F8:F142)</f>
        <v>27990.64</v>
      </c>
    </row>
  </sheetData>
  <mergeCells count="4">
    <mergeCell ref="B2:I2"/>
    <mergeCell ref="B3:I3"/>
    <mergeCell ref="B5:I5"/>
    <mergeCell ref="B143:D143"/>
  </mergeCells>
  <conditionalFormatting sqref="B8:J8">
    <cfRule type="expression" priority="2" aboveAverage="0" equalAverage="0" bottom="0" percent="0" rank="0" text="" dxfId="0">
      <formula>$L11="⚠️ Fuga"</formula>
    </cfRule>
  </conditionalFormatting>
  <dataValidations count="2">
    <dataValidation allowBlank="true" error="Selecciona una categoría válida" errorStyle="stop" errorTitle="Categoría inválida" operator="between" prompt="Elige la categoría del gasto" promptTitle="Categoría" showDropDown="false" showErrorMessage="false" showInputMessage="false" sqref="G8:G228" type="list">
      <formula1>"Servicio Básico,Educación/Salud,Transporte,Vivienda,Alimentación,Salud,Entretenimiento,Comunicación,Ropa/Personal,Deudas/Crédito,Ahorro,Inversión,Otros"</formula1>
      <formula2>0</formula2>
    </dataValidation>
    <dataValidation allowBlank="true" errorStyle="stop" operator="between" showDropDown="false" showErrorMessage="false" showInputMessage="false" sqref="I8:I228" type="list">
      <formula1>"1ra Quincena,2da Quincena"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2A900"/>
    <pageSetUpPr fitToPage="false"/>
  </sheetPr>
  <dimension ref="B1:R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15" min="2" style="1" width="13"/>
    <col collapsed="false" customWidth="true" hidden="false" outlineLevel="0" max="16" min="16" style="1" width="2"/>
  </cols>
  <sheetData>
    <row r="1" customFormat="false" ht="7.5" hidden="false" customHeight="true" outlineLevel="0" collapsed="false"/>
    <row r="2" customFormat="false" ht="49.5" hidden="false" customHeight="true" outlineLevel="0" collapsed="false">
      <c r="B2" s="138" t="s">
        <v>378</v>
      </c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1" t="s">
        <v>11</v>
      </c>
      <c r="R2" s="1" t="s">
        <v>379</v>
      </c>
    </row>
    <row r="3" customFormat="false" ht="7.5" hidden="false" customHeight="true" outlineLevel="0" collapsed="false">
      <c r="Q3" s="1" t="s">
        <v>164</v>
      </c>
      <c r="R3" s="139" t="n">
        <f aca="false">SUMIF('📝 Transacciones'!G8:G228,Q3,'📝 Transacciones'!E8:E228)</f>
        <v>1900</v>
      </c>
    </row>
    <row r="4" customFormat="false" ht="15.75" hidden="false" customHeight="true" outlineLevel="0" collapsed="false">
      <c r="B4" s="140"/>
      <c r="C4" s="140"/>
      <c r="D4" s="140"/>
      <c r="E4" s="141"/>
      <c r="F4" s="141"/>
      <c r="G4" s="141"/>
      <c r="H4" s="142"/>
      <c r="I4" s="142"/>
      <c r="J4" s="142"/>
      <c r="K4" s="143"/>
      <c r="L4" s="143"/>
      <c r="M4" s="143"/>
      <c r="Q4" s="1" t="s">
        <v>166</v>
      </c>
      <c r="R4" s="139" t="n">
        <f aca="false">SUMIF('📝 Transacciones'!G8:G228,Q4,'📝 Transacciones'!E8:E228)</f>
        <v>0</v>
      </c>
    </row>
    <row r="5" customFormat="false" ht="24" hidden="false" customHeight="true" outlineLevel="0" collapsed="false">
      <c r="B5" s="144" t="s">
        <v>380</v>
      </c>
      <c r="C5" s="144"/>
      <c r="D5" s="144"/>
      <c r="E5" s="145" t="s">
        <v>381</v>
      </c>
      <c r="F5" s="145"/>
      <c r="G5" s="145"/>
      <c r="H5" s="146" t="s">
        <v>382</v>
      </c>
      <c r="I5" s="146"/>
      <c r="J5" s="146"/>
      <c r="K5" s="147" t="s">
        <v>383</v>
      </c>
      <c r="L5" s="147"/>
      <c r="M5" s="147"/>
      <c r="Q5" s="1" t="s">
        <v>167</v>
      </c>
      <c r="R5" s="139" t="n">
        <f aca="false">SUMIF('📝 Transacciones'!G8:G228,Q5,'📝 Transacciones'!E8:E228)</f>
        <v>7956.58</v>
      </c>
    </row>
    <row r="6" customFormat="false" ht="37.5" hidden="false" customHeight="true" outlineLevel="0" collapsed="false">
      <c r="B6" s="148" t="n">
        <f aca="false">'📝 Transacciones'!F28</f>
        <v>4600</v>
      </c>
      <c r="C6" s="148"/>
      <c r="D6" s="148"/>
      <c r="E6" s="149" t="n">
        <f aca="false">'📝 Transacciones'!E28</f>
        <v>0</v>
      </c>
      <c r="F6" s="149"/>
      <c r="G6" s="149"/>
      <c r="H6" s="150" t="n">
        <f aca="false">'📝 Transacciones'!F28-'📝 Transacciones'!E28</f>
        <v>4600</v>
      </c>
      <c r="I6" s="150"/>
      <c r="J6" s="150"/>
      <c r="K6" s="151" t="n">
        <f aca="false">IF('📝 Transacciones'!F28&gt;0,('📝 Transacciones'!F28-'📝 Transacciones'!E28)/'📝 Transacciones'!F28,0)</f>
        <v>1</v>
      </c>
      <c r="L6" s="151"/>
      <c r="M6" s="151"/>
      <c r="Q6" s="1" t="s">
        <v>169</v>
      </c>
      <c r="R6" s="139" t="n">
        <f aca="false">SUMIF('📝 Transacciones'!G8:G228,Q6,'📝 Transacciones'!E8:E228)</f>
        <v>0</v>
      </c>
    </row>
    <row r="7" customFormat="false" ht="21.75" hidden="false" customHeight="true" outlineLevel="0" collapsed="false">
      <c r="B7" s="140"/>
      <c r="C7" s="140"/>
      <c r="D7" s="140"/>
      <c r="E7" s="141"/>
      <c r="F7" s="141"/>
      <c r="G7" s="141"/>
      <c r="H7" s="142"/>
      <c r="I7" s="142"/>
      <c r="J7" s="142"/>
      <c r="K7" s="143"/>
      <c r="L7" s="143"/>
      <c r="M7" s="143"/>
      <c r="Q7" s="1" t="s">
        <v>171</v>
      </c>
      <c r="R7" s="139" t="n">
        <f aca="false">SUMIF('📝 Transacciones'!G8:G228,Q7,'📝 Transacciones'!E8:E228)</f>
        <v>24996.06</v>
      </c>
    </row>
    <row r="8" customFormat="false" ht="9.75" hidden="false" customHeight="true" outlineLevel="0" collapsed="false">
      <c r="Q8" s="1" t="s">
        <v>29</v>
      </c>
      <c r="R8" s="139" t="n">
        <f aca="false">SUMIF('📝 Transacciones'!G8:G228,Q8,'📝 Transacciones'!E8:E228)</f>
        <v>2649.2</v>
      </c>
    </row>
    <row r="9" customFormat="false" ht="7.5" hidden="false" customHeight="true" outlineLevel="0" collapsed="false">
      <c r="Q9" s="1" t="s">
        <v>174</v>
      </c>
      <c r="R9" s="139" t="n">
        <f aca="false">SUMIF('📝 Transacciones'!G8:G228,Q9,'📝 Transacciones'!E8:E228)</f>
        <v>2408</v>
      </c>
    </row>
    <row r="10" customFormat="false" ht="25.5" hidden="false" customHeight="true" outlineLevel="0" collapsed="false">
      <c r="B10" s="92" t="s">
        <v>384</v>
      </c>
      <c r="C10" s="92"/>
      <c r="D10" s="92"/>
      <c r="E10" s="92"/>
      <c r="F10" s="92"/>
      <c r="Q10" s="1" t="s">
        <v>176</v>
      </c>
      <c r="R10" s="139" t="n">
        <f aca="false">SUMIF('📝 Transacciones'!G8:G228,Q10,'📝 Transacciones'!E8:E228)</f>
        <v>758</v>
      </c>
    </row>
    <row r="11" customFormat="false" ht="21.75" hidden="false" customHeight="true" outlineLevel="0" collapsed="false">
      <c r="B11" s="35" t="s">
        <v>11</v>
      </c>
      <c r="C11" s="35" t="s">
        <v>385</v>
      </c>
      <c r="D11" s="35" t="s">
        <v>386</v>
      </c>
      <c r="E11" s="35" t="s">
        <v>387</v>
      </c>
      <c r="F11" s="35" t="s">
        <v>388</v>
      </c>
      <c r="Q11" s="1" t="s">
        <v>178</v>
      </c>
      <c r="R11" s="139" t="n">
        <f aca="false">SUMIF('📝 Transacciones'!G8:G228,Q11,'📝 Transacciones'!E8:E228)</f>
        <v>943.24</v>
      </c>
    </row>
    <row r="12" customFormat="false" ht="21" hidden="false" customHeight="true" outlineLevel="0" collapsed="false">
      <c r="B12" s="66" t="s">
        <v>164</v>
      </c>
      <c r="C12" s="152" t="n">
        <f aca="false">SUMIF('📝 Transacciones'!G8:G228,B12,'📝 Transacciones'!E8:E228)</f>
        <v>1900</v>
      </c>
      <c r="D12" s="153" t="n">
        <f aca="false">SUM('⚙️ Configuración'!C14:C14)+'⚙️ Configuración'!C15+'⚙️ Configuración'!C16+'⚙️ Configuración'!C20</f>
        <v>1759</v>
      </c>
      <c r="E12" s="76" t="n">
        <f aca="false">D12-C12</f>
        <v>-141</v>
      </c>
      <c r="F12" s="154" t="str">
        <f aca="false">IF(D12=0,"➖",IF(C12&lt;=D12,"✅ OK","⚠️ Excedido"))</f>
        <v>⚠️ Excedido</v>
      </c>
      <c r="Q12" s="1" t="s">
        <v>179</v>
      </c>
      <c r="R12" s="139" t="n">
        <f aca="false">SUMIF('📝 Transacciones'!G8:G228,Q12,'📝 Transacciones'!E8:E228)</f>
        <v>2986.28</v>
      </c>
    </row>
    <row r="13" customFormat="false" ht="21" hidden="false" customHeight="true" outlineLevel="0" collapsed="false">
      <c r="B13" s="68" t="s">
        <v>166</v>
      </c>
      <c r="C13" s="155" t="n">
        <f aca="false">SUMIF('📝 Transacciones'!G8:G228,B13,'📝 Transacciones'!E8:E228)</f>
        <v>0</v>
      </c>
      <c r="D13" s="156" t="n">
        <f aca="false">'⚙️ Configuración'!C17</f>
        <v>4000</v>
      </c>
      <c r="E13" s="81" t="n">
        <f aca="false">D13-C13</f>
        <v>4000</v>
      </c>
      <c r="F13" s="157" t="str">
        <f aca="false">IF(D13=0,"➖",IF(C13&lt;=D13,"✅ OK","⚠️ Excedido"))</f>
        <v>✅ OK</v>
      </c>
      <c r="Q13" s="1" t="s">
        <v>143</v>
      </c>
      <c r="R13" s="139" t="n">
        <f aca="false">SUMIF('📝 Transacciones'!G8:G228,Q13,'📝 Transacciones'!E8:E228)</f>
        <v>0</v>
      </c>
    </row>
    <row r="14" customFormat="false" ht="21" hidden="false" customHeight="true" outlineLevel="0" collapsed="false">
      <c r="B14" s="66" t="s">
        <v>167</v>
      </c>
      <c r="C14" s="152" t="n">
        <f aca="false">SUMIF('📝 Transacciones'!G8:G228,B14,'📝 Transacciones'!E8:E228)</f>
        <v>7956.58</v>
      </c>
      <c r="D14" s="153" t="n">
        <f aca="false">'⚙️ Configuración'!C18</f>
        <v>2000</v>
      </c>
      <c r="E14" s="76" t="n">
        <f aca="false">D14-C14</f>
        <v>-5956.58</v>
      </c>
      <c r="F14" s="154" t="str">
        <f aca="false">IF(D14=0,"➖",IF(C14&lt;=D14,"✅ OK","⚠️ Excedido"))</f>
        <v>⚠️ Excedido</v>
      </c>
      <c r="Q14" s="1" t="s">
        <v>144</v>
      </c>
      <c r="R14" s="139" t="n">
        <f aca="false">SUMIF('📝 Transacciones'!G8:G228,Q14,'📝 Transacciones'!E8:E228)</f>
        <v>161</v>
      </c>
    </row>
    <row r="15" customFormat="false" ht="21" hidden="false" customHeight="true" outlineLevel="0" collapsed="false">
      <c r="B15" s="68" t="s">
        <v>169</v>
      </c>
      <c r="C15" s="155" t="n">
        <f aca="false">SUMIF('📝 Transacciones'!G8:G228,B15,'📝 Transacciones'!E8:E228)</f>
        <v>0</v>
      </c>
      <c r="D15" s="156" t="n">
        <f aca="false">'⚙️ Configuración'!C19</f>
        <v>1000</v>
      </c>
      <c r="E15" s="81" t="n">
        <f aca="false">D15-C15</f>
        <v>1000</v>
      </c>
      <c r="F15" s="157" t="str">
        <f aca="false">IF(D15=0,"➖",IF(C15&lt;=D15,"✅ OK","⚠️ Excedido"))</f>
        <v>✅ OK</v>
      </c>
      <c r="Q15" s="1" t="s">
        <v>185</v>
      </c>
      <c r="R15" s="139" t="n">
        <f aca="false">SUMIF('📝 Transacciones'!G8:G228,Q15,'📝 Transacciones'!E8:E228)</f>
        <v>19.99</v>
      </c>
    </row>
    <row r="16" customFormat="false" ht="21" hidden="false" customHeight="true" outlineLevel="0" collapsed="false">
      <c r="B16" s="66" t="s">
        <v>171</v>
      </c>
      <c r="C16" s="152" t="n">
        <f aca="false">SUMIF('📝 Transacciones'!G8:G228,B16,'📝 Transacciones'!E8:E228)</f>
        <v>24996.06</v>
      </c>
      <c r="D16" s="153" t="n">
        <f aca="false">'⚙️ Configuración'!C24</f>
        <v>5000</v>
      </c>
      <c r="E16" s="76" t="n">
        <f aca="false">D16-C16</f>
        <v>-19996.06</v>
      </c>
      <c r="F16" s="154" t="str">
        <f aca="false">IF(D16=0,"➖",IF(C16&lt;=D16,"✅ OK","⚠️ Excedido"))</f>
        <v>⚠️ Excedido</v>
      </c>
    </row>
    <row r="17" customFormat="false" ht="21" hidden="false" customHeight="true" outlineLevel="0" collapsed="false">
      <c r="B17" s="68" t="s">
        <v>29</v>
      </c>
      <c r="C17" s="155" t="n">
        <f aca="false">SUMIF('📝 Transacciones'!G8:G228,B17,'📝 Transacciones'!E8:E228)</f>
        <v>2649.2</v>
      </c>
      <c r="D17" s="156" t="n">
        <f aca="false">'⚙️ Configuración'!C21</f>
        <v>700</v>
      </c>
      <c r="E17" s="81" t="n">
        <f aca="false">D17-C17</f>
        <v>-1949.2</v>
      </c>
      <c r="F17" s="157" t="str">
        <f aca="false">IF(D17=0,"➖",IF(C17&lt;=D17,"✅ OK","⚠️ Excedido"))</f>
        <v>⚠️ Excedido</v>
      </c>
    </row>
    <row r="18" customFormat="false" ht="21" hidden="false" customHeight="true" outlineLevel="0" collapsed="false">
      <c r="B18" s="66" t="s">
        <v>174</v>
      </c>
      <c r="C18" s="152" t="n">
        <f aca="false">SUMIF('📝 Transacciones'!G8:G228,B18,'📝 Transacciones'!E8:E228)</f>
        <v>2408</v>
      </c>
      <c r="D18" s="153" t="n">
        <f aca="false">'⚙️ Configuración'!C23</f>
        <v>349</v>
      </c>
      <c r="E18" s="76" t="n">
        <f aca="false">D18-C18</f>
        <v>-2059</v>
      </c>
      <c r="F18" s="154" t="str">
        <f aca="false">IF(D18=0,"➖",IF(C18&lt;=D18,"✅ OK","⚠️ Excedido"))</f>
        <v>⚠️ Excedido</v>
      </c>
    </row>
    <row r="19" customFormat="false" ht="21" hidden="false" customHeight="true" outlineLevel="0" collapsed="false">
      <c r="B19" s="68" t="s">
        <v>176</v>
      </c>
      <c r="C19" s="155" t="n">
        <f aca="false">SUMIF('📝 Transacciones'!G8:G228,B19,'📝 Transacciones'!E8:E228)</f>
        <v>758</v>
      </c>
      <c r="D19" s="156" t="n">
        <f aca="false">'⚙️ Configuración'!C22</f>
        <v>720</v>
      </c>
      <c r="E19" s="81" t="n">
        <f aca="false">D19-C19</f>
        <v>-38</v>
      </c>
      <c r="F19" s="157" t="str">
        <f aca="false">IF(D19=0,"➖",IF(C19&lt;=D19,"✅ OK","⚠️ Excedido"))</f>
        <v>⚠️ Excedido</v>
      </c>
    </row>
    <row r="20" customFormat="false" ht="21" hidden="false" customHeight="true" outlineLevel="0" collapsed="false">
      <c r="B20" s="66" t="s">
        <v>178</v>
      </c>
      <c r="C20" s="152" t="n">
        <f aca="false">SUMIF('📝 Transacciones'!G8:G228,B20,'📝 Transacciones'!E8:E228)</f>
        <v>943.24</v>
      </c>
      <c r="D20" s="153" t="n">
        <v>0</v>
      </c>
      <c r="E20" s="76" t="n">
        <f aca="false">D20-C20</f>
        <v>-943.24</v>
      </c>
      <c r="F20" s="154" t="str">
        <f aca="false">IF(D20=0,"➖",IF(C20&lt;=D20,"✅ OK","⚠️ Excedido"))</f>
        <v>➖</v>
      </c>
    </row>
    <row r="21" customFormat="false" ht="21" hidden="false" customHeight="true" outlineLevel="0" collapsed="false">
      <c r="B21" s="68" t="s">
        <v>179</v>
      </c>
      <c r="C21" s="155" t="n">
        <f aca="false">SUMIF('📝 Transacciones'!G8:G228,B21,'📝 Transacciones'!E8:E228)</f>
        <v>2986.28</v>
      </c>
      <c r="D21" s="156" t="n">
        <v>0</v>
      </c>
      <c r="E21" s="81" t="n">
        <f aca="false">D21-C21</f>
        <v>-2986.28</v>
      </c>
      <c r="F21" s="157" t="str">
        <f aca="false">IF(D21=0,"➖",IF(C21&lt;=D21,"✅ OK","⚠️ Excedido"))</f>
        <v>➖</v>
      </c>
    </row>
    <row r="22" customFormat="false" ht="21" hidden="false" customHeight="true" outlineLevel="0" collapsed="false">
      <c r="B22" s="66" t="s">
        <v>143</v>
      </c>
      <c r="C22" s="152" t="n">
        <f aca="false">SUMIF('📝 Transacciones'!G8:G228,B22,'📝 Transacciones'!E8:E228)</f>
        <v>0</v>
      </c>
      <c r="D22" s="153" t="n">
        <f aca="false">'⚙️ Configuración'!C7*'⚙️ Configuración'!C8</f>
        <v>3100</v>
      </c>
      <c r="E22" s="76" t="n">
        <f aca="false">D22-C22</f>
        <v>3100</v>
      </c>
      <c r="F22" s="154" t="str">
        <f aca="false">IF(D22=0,"➖",IF(C22&lt;=D22,"✅ OK","⚠️ Excedido"))</f>
        <v>✅ OK</v>
      </c>
    </row>
    <row r="23" customFormat="false" ht="21" hidden="false" customHeight="true" outlineLevel="0" collapsed="false">
      <c r="B23" s="68" t="s">
        <v>144</v>
      </c>
      <c r="C23" s="155" t="n">
        <f aca="false">SUMIF('📝 Transacciones'!G8:G228,B23,'📝 Transacciones'!E8:E228)</f>
        <v>161</v>
      </c>
      <c r="D23" s="156" t="n">
        <f aca="false">'⚙️ Configuración'!C7*'⚙️ Configuración'!C9</f>
        <v>1550</v>
      </c>
      <c r="E23" s="81" t="n">
        <f aca="false">D23-C23</f>
        <v>1389</v>
      </c>
      <c r="F23" s="157" t="str">
        <f aca="false">IF(D23=0,"➖",IF(C23&lt;=D23,"✅ OK","⚠️ Excedido"))</f>
        <v>✅ OK</v>
      </c>
    </row>
    <row r="24" customFormat="false" ht="21" hidden="false" customHeight="true" outlineLevel="0" collapsed="false">
      <c r="B24" s="66" t="s">
        <v>185</v>
      </c>
      <c r="C24" s="152" t="n">
        <f aca="false">SUMIF('📝 Transacciones'!G8:G228,B24,'📝 Transacciones'!E8:E228)</f>
        <v>19.99</v>
      </c>
      <c r="D24" s="153" t="n">
        <f aca="false">'⚙️ Configuración'!C25</f>
        <v>1800</v>
      </c>
      <c r="E24" s="76" t="n">
        <f aca="false">D24-C24</f>
        <v>1780.01</v>
      </c>
      <c r="F24" s="154" t="str">
        <f aca="false">IF(D24=0,"➖",IF(C24&lt;=D24,"✅ OK","⚠️ Excedido"))</f>
        <v>✅ OK</v>
      </c>
    </row>
    <row r="25" customFormat="false" ht="25.5" hidden="false" customHeight="true" outlineLevel="0" collapsed="false">
      <c r="B25" s="27" t="s">
        <v>104</v>
      </c>
      <c r="C25" s="28" t="n">
        <f aca="false">SUM(C12:C24)</f>
        <v>44778.35</v>
      </c>
      <c r="D25" s="28" t="n">
        <f aca="false">SUM(D12:D24)</f>
        <v>21978</v>
      </c>
      <c r="E25" s="28" t="n">
        <f aca="false">D25-C25</f>
        <v>-22800.35</v>
      </c>
      <c r="F25" s="158"/>
    </row>
  </sheetData>
  <mergeCells count="18">
    <mergeCell ref="B2:O2"/>
    <mergeCell ref="B4:D4"/>
    <mergeCell ref="E4:G4"/>
    <mergeCell ref="H4:J4"/>
    <mergeCell ref="K4:M4"/>
    <mergeCell ref="B5:D5"/>
    <mergeCell ref="E5:G5"/>
    <mergeCell ref="H5:J5"/>
    <mergeCell ref="K5:M5"/>
    <mergeCell ref="B6:D6"/>
    <mergeCell ref="E6:G6"/>
    <mergeCell ref="H6:J6"/>
    <mergeCell ref="K6:M6"/>
    <mergeCell ref="B7:D7"/>
    <mergeCell ref="E7:G7"/>
    <mergeCell ref="H7:J7"/>
    <mergeCell ref="K7:M7"/>
    <mergeCell ref="B10:F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7AE60"/>
    <pageSetUpPr fitToPage="false"/>
  </sheetPr>
  <dimension ref="B1:J48"/>
  <sheetViews>
    <sheetView showFormulas="false" showGridLines="false" showRowColHeaders="true" showZeros="true" rightToLeft="false" tabSelected="false" showOutlineSymbols="true" defaultGridColor="true" view="normal" topLeftCell="A24" colorId="64" zoomScale="100" zoomScaleNormal="100" zoomScalePageLayoutView="100" workbookViewId="0">
      <selection pane="topLeft" activeCell="C48" activeCellId="0" sqref="C48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8.29"/>
    <col collapsed="false" customWidth="true" hidden="false" outlineLevel="0" max="3" min="3" style="1" width="11.43"/>
    <col collapsed="false" customWidth="true" hidden="false" outlineLevel="0" max="11" min="4" style="1" width="16"/>
  </cols>
  <sheetData>
    <row r="1" customFormat="false" ht="9.75" hidden="false" customHeight="true" outlineLevel="0" collapsed="false"/>
    <row r="2" customFormat="false" ht="45" hidden="false" customHeight="true" outlineLevel="0" collapsed="false">
      <c r="B2" s="159" t="s">
        <v>389</v>
      </c>
      <c r="C2" s="159"/>
      <c r="D2" s="159"/>
      <c r="E2" s="159"/>
      <c r="F2" s="159"/>
      <c r="G2" s="159"/>
      <c r="H2" s="159"/>
      <c r="I2" s="159"/>
      <c r="J2" s="159"/>
    </row>
    <row r="3" customFormat="false" ht="9.75" hidden="false" customHeight="true" outlineLevel="0" collapsed="false"/>
    <row r="4" customFormat="false" ht="25.5" hidden="false" customHeight="true" outlineLevel="0" collapsed="false">
      <c r="B4" s="87" t="s">
        <v>390</v>
      </c>
      <c r="C4" s="87"/>
      <c r="D4" s="87"/>
      <c r="E4" s="87"/>
    </row>
    <row r="5" customFormat="false" ht="21.75" hidden="false" customHeight="true" outlineLevel="0" collapsed="false">
      <c r="B5" s="66" t="s">
        <v>391</v>
      </c>
      <c r="C5" s="76" t="n">
        <f aca="false">'⚙️ Configuración'!C7*'⚙️ Configuración'!C8</f>
        <v>3100</v>
      </c>
    </row>
    <row r="6" customFormat="false" ht="21.75" hidden="false" customHeight="true" outlineLevel="0" collapsed="false">
      <c r="B6" s="68" t="s">
        <v>392</v>
      </c>
      <c r="C6" s="81" t="n">
        <f aca="false">'⚙️ Configuración'!C7*'⚙️ Configuración'!C9</f>
        <v>1550</v>
      </c>
    </row>
    <row r="7" customFormat="false" ht="21.75" hidden="false" customHeight="true" outlineLevel="0" collapsed="false">
      <c r="B7" s="66" t="s">
        <v>393</v>
      </c>
      <c r="C7" s="160" t="n">
        <v>0.1</v>
      </c>
    </row>
    <row r="8" customFormat="false" ht="21.75" hidden="false" customHeight="true" outlineLevel="0" collapsed="false">
      <c r="B8" s="68" t="s">
        <v>394</v>
      </c>
      <c r="C8" s="161" t="n">
        <v>10</v>
      </c>
    </row>
    <row r="9" customFormat="false" ht="21.75" hidden="false" customHeight="true" outlineLevel="0" collapsed="false">
      <c r="B9" s="66" t="s">
        <v>395</v>
      </c>
      <c r="C9" s="76" t="n">
        <f aca="false">'⚙️ Configuración'!C7*2*'⚙️ Configuración'!C10</f>
        <v>186000</v>
      </c>
    </row>
    <row r="10" customFormat="false" ht="12" hidden="false" customHeight="true" outlineLevel="0" collapsed="false"/>
    <row r="11" customFormat="false" ht="25.5" hidden="false" customHeight="true" outlineLevel="0" collapsed="false">
      <c r="B11" s="95" t="s">
        <v>396</v>
      </c>
      <c r="C11" s="95"/>
      <c r="D11" s="95"/>
      <c r="E11" s="95"/>
      <c r="F11" s="95"/>
      <c r="G11" s="95"/>
      <c r="H11" s="95"/>
      <c r="I11" s="95"/>
    </row>
    <row r="12" customFormat="false" ht="30" hidden="false" customHeight="true" outlineLevel="0" collapsed="false">
      <c r="B12" s="73" t="s">
        <v>108</v>
      </c>
      <c r="C12" s="73" t="s">
        <v>397</v>
      </c>
      <c r="D12" s="73" t="s">
        <v>398</v>
      </c>
      <c r="E12" s="73" t="s">
        <v>399</v>
      </c>
      <c r="F12" s="73" t="s">
        <v>400</v>
      </c>
      <c r="G12" s="73" t="s">
        <v>148</v>
      </c>
      <c r="H12" s="73" t="s">
        <v>149</v>
      </c>
      <c r="I12" s="73" t="s">
        <v>401</v>
      </c>
    </row>
    <row r="13" customFormat="false" ht="19.5" hidden="false" customHeight="true" outlineLevel="0" collapsed="false">
      <c r="B13" s="157" t="n">
        <v>1</v>
      </c>
      <c r="C13" s="81" t="n">
        <f aca="false">$C$5</f>
        <v>3100</v>
      </c>
      <c r="D13" s="81" t="n">
        <f aca="false">$C$6</f>
        <v>1550</v>
      </c>
      <c r="E13" s="81" t="n">
        <f aca="false">(C$5+C$6)*B13</f>
        <v>4650</v>
      </c>
      <c r="F13" s="162" t="n">
        <f aca="false">$C$5*(POWER(1+$C$7,1/12)-1)+$C$6*(POWER(1+$C$7,1/12)-1)</f>
        <v>37.0797529944025</v>
      </c>
      <c r="G13" s="81" t="n">
        <f aca="false">$C$5*(1+(1+$C$7)^(1/12)-1)</f>
        <v>3124.7198353296</v>
      </c>
      <c r="H13" s="81" t="n">
        <f aca="false">$C$6*(1+(1+$C$7)^(1/12)-1)</f>
        <v>1562.3599176648</v>
      </c>
      <c r="I13" s="81" t="n">
        <f aca="false">G13+H13</f>
        <v>4687.0797529944</v>
      </c>
    </row>
    <row r="14" customFormat="false" ht="19.5" hidden="false" customHeight="true" outlineLevel="0" collapsed="false">
      <c r="B14" s="154" t="n">
        <v>2</v>
      </c>
      <c r="C14" s="76" t="n">
        <f aca="false">$C$5</f>
        <v>3100</v>
      </c>
      <c r="D14" s="76" t="n">
        <f aca="false">$C$6</f>
        <v>1550</v>
      </c>
      <c r="E14" s="76" t="n">
        <f aca="false">(C$5+C$6)*B14</f>
        <v>9300</v>
      </c>
      <c r="F14" s="162" t="n">
        <f aca="false">(G13+H13+$C$5+$C$6)*(POWER(1+$C$7,1/12)-1)</f>
        <v>74.4551851462514</v>
      </c>
      <c r="G14" s="76" t="n">
        <f aca="false">(G13+$C$5)*(1+(1+$C$7)^(1/12)-1)+G13+$C$5</f>
        <v>12499.0764607567</v>
      </c>
      <c r="H14" s="76" t="n">
        <f aca="false">(H13+$C$6)*(1+(1+$C$7)^(1/12)-1)+H13+$C$6</f>
        <v>6249.53823037835</v>
      </c>
      <c r="I14" s="76" t="n">
        <f aca="false">G14+H14</f>
        <v>18748.6146911351</v>
      </c>
    </row>
    <row r="15" customFormat="false" ht="19.5" hidden="false" customHeight="true" outlineLevel="0" collapsed="false">
      <c r="B15" s="157" t="n">
        <v>3</v>
      </c>
      <c r="C15" s="81" t="n">
        <f aca="false">$C$5</f>
        <v>3100</v>
      </c>
      <c r="D15" s="81" t="n">
        <f aca="false">$C$6</f>
        <v>1550</v>
      </c>
      <c r="E15" s="81" t="n">
        <f aca="false">(C$5+C$6)*B15</f>
        <v>13950</v>
      </c>
      <c r="F15" s="162" t="n">
        <f aca="false">(G14+H14+$C$5+$C$6)*(POWER(1+$C$7,1/12)-1)</f>
        <v>186.583839388922</v>
      </c>
      <c r="G15" s="81" t="n">
        <f aca="false">(G14+$C$5)*(1+(1+$C$7)^(1/12)-1)+G14+$C$5</f>
        <v>31322.5421477727</v>
      </c>
      <c r="H15" s="81" t="n">
        <f aca="false">(H14+$C$6)*(1+(1+$C$7)^(1/12)-1)+H14+$C$6</f>
        <v>15661.2710738864</v>
      </c>
      <c r="I15" s="81" t="n">
        <f aca="false">G15+H15</f>
        <v>46983.813221659</v>
      </c>
    </row>
    <row r="16" customFormat="false" ht="19.5" hidden="false" customHeight="true" outlineLevel="0" collapsed="false">
      <c r="B16" s="154" t="n">
        <v>4</v>
      </c>
      <c r="C16" s="76" t="n">
        <f aca="false">$C$5</f>
        <v>3100</v>
      </c>
      <c r="D16" s="76" t="n">
        <f aca="false">$C$6</f>
        <v>1550</v>
      </c>
      <c r="E16" s="76" t="n">
        <f aca="false">(C$5+C$6)*B16</f>
        <v>18600</v>
      </c>
      <c r="F16" s="162" t="n">
        <f aca="false">(G15+H15+$C$5+$C$6)*(POWER(1+$C$7,1/12)-1)</f>
        <v>411.735277509297</v>
      </c>
      <c r="G16" s="76" t="n">
        <f aca="false">(G15+$C$5)*(1+(1+$C$7)^(1/12)-1)+G15+$C$5</f>
        <v>69119.5744805516</v>
      </c>
      <c r="H16" s="76" t="n">
        <f aca="false">(H15+$C$6)*(1+(1+$C$7)^(1/12)-1)+H15+$C$6</f>
        <v>34559.7872402758</v>
      </c>
      <c r="I16" s="76" t="n">
        <f aca="false">G16+H16</f>
        <v>103679.361720827</v>
      </c>
    </row>
    <row r="17" customFormat="false" ht="19.5" hidden="false" customHeight="true" outlineLevel="0" collapsed="false">
      <c r="B17" s="157" t="n">
        <v>5</v>
      </c>
      <c r="C17" s="81" t="n">
        <f aca="false">$C$5</f>
        <v>3100</v>
      </c>
      <c r="D17" s="81" t="n">
        <f aca="false">$C$6</f>
        <v>1550</v>
      </c>
      <c r="E17" s="81" t="n">
        <f aca="false">(C$5+C$6)*B17</f>
        <v>23250</v>
      </c>
      <c r="F17" s="162" t="n">
        <f aca="false">(G16+H16+$C$5+$C$6)*(POWER(1+$C$7,1/12)-1)</f>
        <v>863.83354293539</v>
      </c>
      <c r="G17" s="81" t="n">
        <f aca="false">(G16+$C$5)*(1+(1+$C$7)^(1/12)-1)+G16+$C$5</f>
        <v>145015.037989727</v>
      </c>
      <c r="H17" s="81" t="n">
        <f aca="false">(H16+$C$6)*(1+(1+$C$7)^(1/12)-1)+H16+$C$6</f>
        <v>72507.5189948634</v>
      </c>
      <c r="I17" s="81" t="n">
        <f aca="false">G17+H17</f>
        <v>217522.55698459</v>
      </c>
    </row>
    <row r="18" customFormat="false" ht="19.5" hidden="false" customHeight="true" outlineLevel="0" collapsed="false">
      <c r="B18" s="154" t="n">
        <v>6</v>
      </c>
      <c r="C18" s="76" t="n">
        <f aca="false">$C$5</f>
        <v>3100</v>
      </c>
      <c r="D18" s="76" t="n">
        <f aca="false">$C$6</f>
        <v>1550</v>
      </c>
      <c r="E18" s="76" t="n">
        <f aca="false">(C$5+C$6)*B18</f>
        <v>27900</v>
      </c>
      <c r="F18" s="162" t="n">
        <f aca="false">(G17+H17+$C$5+$C$6)*(POWER(1+$C$7,1/12)-1)</f>
        <v>1771.63516884375</v>
      </c>
      <c r="G18" s="76" t="n">
        <f aca="false">(G17+$C$5)*(1+(1+$C$7)^(1/12)-1)+G17+$C$5</f>
        <v>297411.166092016</v>
      </c>
      <c r="H18" s="76" t="n">
        <f aca="false">(H17+$C$6)*(1+(1+$C$7)^(1/12)-1)+H17+$C$6</f>
        <v>148705.583046008</v>
      </c>
      <c r="I18" s="76" t="n">
        <f aca="false">G18+H18</f>
        <v>446116.749138024</v>
      </c>
    </row>
    <row r="19" customFormat="false" ht="19.5" hidden="false" customHeight="true" outlineLevel="0" collapsed="false">
      <c r="B19" s="157" t="n">
        <v>7</v>
      </c>
      <c r="C19" s="81" t="n">
        <f aca="false">$C$5</f>
        <v>3100</v>
      </c>
      <c r="D19" s="81" t="n">
        <f aca="false">$C$6</f>
        <v>1550</v>
      </c>
      <c r="E19" s="81" t="n">
        <f aca="false">(C$5+C$6)*B19</f>
        <v>32550</v>
      </c>
      <c r="F19" s="162" t="n">
        <f aca="false">(G18+H18+$C$5+$C$6)*(POWER(1+$C$7,1/12)-1)</f>
        <v>3594.47735830704</v>
      </c>
      <c r="G19" s="81" t="n">
        <f aca="false">(G18+$C$5)*(1+(1+$C$7)^(1/12)-1)+G18+$C$5</f>
        <v>603418.650422904</v>
      </c>
      <c r="H19" s="81" t="n">
        <f aca="false">(H18+$C$6)*(1+(1+$C$7)^(1/12)-1)+H18+$C$6</f>
        <v>301709.325211452</v>
      </c>
      <c r="I19" s="81" t="n">
        <f aca="false">G19+H19</f>
        <v>905127.975634356</v>
      </c>
    </row>
    <row r="20" customFormat="false" ht="19.5" hidden="false" customHeight="true" outlineLevel="0" collapsed="false">
      <c r="B20" s="154" t="n">
        <v>8</v>
      </c>
      <c r="C20" s="76" t="n">
        <f aca="false">$C$5</f>
        <v>3100</v>
      </c>
      <c r="D20" s="76" t="n">
        <f aca="false">$C$6</f>
        <v>1550</v>
      </c>
      <c r="E20" s="76" t="n">
        <f aca="false">(C$5+C$6)*B20</f>
        <v>37200</v>
      </c>
      <c r="F20" s="162" t="n">
        <f aca="false">(G19+H19+$C$5+$C$6)*(POWER(1+$C$7,1/12)-1)</f>
        <v>7254.69733683214</v>
      </c>
      <c r="G20" s="76" t="n">
        <f aca="false">(G19+$C$5)*(1+(1+$C$7)^(1/12)-1)+G19+$C$5</f>
        <v>1217873.76573703</v>
      </c>
      <c r="H20" s="76" t="n">
        <f aca="false">(H19+$C$6)*(1+(1+$C$7)^(1/12)-1)+H19+$C$6</f>
        <v>608936.882868515</v>
      </c>
      <c r="I20" s="76" t="n">
        <f aca="false">G20+H20</f>
        <v>1826810.64860554</v>
      </c>
    </row>
    <row r="21" customFormat="false" ht="19.5" hidden="false" customHeight="true" outlineLevel="0" collapsed="false">
      <c r="B21" s="157" t="n">
        <v>9</v>
      </c>
      <c r="C21" s="81" t="n">
        <f aca="false">$C$5</f>
        <v>3100</v>
      </c>
      <c r="D21" s="81" t="n">
        <f aca="false">$C$6</f>
        <v>1550</v>
      </c>
      <c r="E21" s="81" t="n">
        <f aca="false">(C$5+C$6)*B21</f>
        <v>41850</v>
      </c>
      <c r="F21" s="162" t="n">
        <f aca="false">(G20+H20+$C$5+$C$6)*(POWER(1+$C$7,1/12)-1)</f>
        <v>14604.3244019918</v>
      </c>
      <c r="G21" s="81" t="n">
        <f aca="false">(G20+$C$5)*(1+(1+$C$7)^(1/12)-1)+G20+$C$5</f>
        <v>2451683.74774205</v>
      </c>
      <c r="H21" s="81" t="n">
        <f aca="false">(H20+$C$6)*(1+(1+$C$7)^(1/12)-1)+H20+$C$6</f>
        <v>1225841.87387103</v>
      </c>
      <c r="I21" s="81" t="n">
        <f aca="false">G21+H21</f>
        <v>3677525.62161308</v>
      </c>
    </row>
    <row r="22" customFormat="false" ht="19.5" hidden="false" customHeight="true" outlineLevel="0" collapsed="false">
      <c r="B22" s="154" t="n">
        <v>10</v>
      </c>
      <c r="C22" s="76" t="n">
        <f aca="false">$C$5</f>
        <v>3100</v>
      </c>
      <c r="D22" s="76" t="n">
        <f aca="false">$C$6</f>
        <v>1550</v>
      </c>
      <c r="E22" s="76" t="n">
        <f aca="false">(C$5+C$6)*B22</f>
        <v>46500</v>
      </c>
      <c r="F22" s="162" t="n">
        <f aca="false">(G21+H21+$C$5+$C$6)*(POWER(1+$C$7,1/12)-1)</f>
        <v>29362.1854906287</v>
      </c>
      <c r="G22" s="76" t="n">
        <f aca="false">(G21+$C$5)*(1+(1+$C$7)^(1/12)-1)+G21+$C$5</f>
        <v>4929142.28581119</v>
      </c>
      <c r="H22" s="76" t="n">
        <f aca="false">(H21+$C$6)*(1+(1+$C$7)^(1/12)-1)+H21+$C$6</f>
        <v>2464571.1429056</v>
      </c>
      <c r="I22" s="76" t="n">
        <f aca="false">G22+H22</f>
        <v>7393713.42871679</v>
      </c>
    </row>
    <row r="23" customFormat="false" ht="19.5" hidden="false" customHeight="true" outlineLevel="0" collapsed="false">
      <c r="B23" s="157" t="n">
        <v>11</v>
      </c>
      <c r="C23" s="81" t="n">
        <f aca="false">$C$5</f>
        <v>3100</v>
      </c>
      <c r="D23" s="81" t="n">
        <f aca="false">$C$6</f>
        <v>1550</v>
      </c>
      <c r="E23" s="81" t="n">
        <f aca="false">(C$5+C$6)*B23</f>
        <v>51150</v>
      </c>
      <c r="F23" s="162" t="n">
        <f aca="false">(G22+H22+$C$5+$C$6)*(POWER(1+$C$7,1/12)-1)</f>
        <v>58995.5889246536</v>
      </c>
      <c r="G23" s="81" t="n">
        <f aca="false">(G22+$C$5)*(1+(1+$C$7)^(1/12)-1)+G22+$C$5</f>
        <v>9903814.96423882</v>
      </c>
      <c r="H23" s="81" t="n">
        <f aca="false">(H22+$C$6)*(1+(1+$C$7)^(1/12)-1)+H22+$C$6</f>
        <v>4951907.48211941</v>
      </c>
      <c r="I23" s="81" t="n">
        <f aca="false">G23+H23</f>
        <v>14855722.4463582</v>
      </c>
    </row>
    <row r="24" customFormat="false" ht="19.5" hidden="false" customHeight="true" outlineLevel="0" collapsed="false">
      <c r="B24" s="154" t="n">
        <v>12</v>
      </c>
      <c r="C24" s="76" t="n">
        <f aca="false">$C$5</f>
        <v>3100</v>
      </c>
      <c r="D24" s="76" t="n">
        <f aca="false">$C$6</f>
        <v>1550</v>
      </c>
      <c r="E24" s="76" t="n">
        <f aca="false">(C$5+C$6)*B24</f>
        <v>55800</v>
      </c>
      <c r="F24" s="162" t="n">
        <f aca="false">(G23+H23+$C$5+$C$6)*(POWER(1+$C$7,1/12)-1)</f>
        <v>118498.696713073</v>
      </c>
      <c r="G24" s="76" t="n">
        <f aca="false">(G23+$C$5)*(1+(1+$C$7)^(1/12)-1)+G23+$C$5</f>
        <v>19892829.0596197</v>
      </c>
      <c r="H24" s="76" t="n">
        <f aca="false">(H23+$C$6)*(1+(1+$C$7)^(1/12)-1)+H23+$C$6</f>
        <v>9946414.52980985</v>
      </c>
      <c r="I24" s="163" t="n">
        <f aca="false">G24+H24</f>
        <v>29839243.5894295</v>
      </c>
    </row>
    <row r="44" customFormat="false" ht="25.5" hidden="false" customHeight="true" outlineLevel="0" collapsed="false">
      <c r="B44" s="164" t="s">
        <v>402</v>
      </c>
      <c r="C44" s="164"/>
      <c r="D44" s="164"/>
      <c r="E44" s="164"/>
    </row>
    <row r="45" customFormat="false" ht="21.75" hidden="false" customHeight="true" outlineLevel="0" collapsed="false">
      <c r="B45" s="66" t="s">
        <v>403</v>
      </c>
      <c r="C45" s="76" t="n">
        <f aca="false">'⚙️ Configuración'!C7*2*'⚙️ Configuración'!C10</f>
        <v>186000</v>
      </c>
    </row>
    <row r="46" customFormat="false" ht="21.75" hidden="false" customHeight="true" outlineLevel="0" collapsed="false">
      <c r="B46" s="68" t="s">
        <v>404</v>
      </c>
      <c r="C46" s="69" t="n">
        <v>0</v>
      </c>
    </row>
    <row r="47" customFormat="false" ht="21.75" hidden="false" customHeight="true" outlineLevel="0" collapsed="false">
      <c r="B47" s="66" t="s">
        <v>405</v>
      </c>
      <c r="C47" s="165" t="n">
        <f aca="false">IF(C46&gt;0,C46/C45,0)</f>
        <v>0</v>
      </c>
    </row>
    <row r="48" customFormat="false" ht="21.75" hidden="false" customHeight="true" outlineLevel="0" collapsed="false">
      <c r="B48" s="68" t="s">
        <v>406</v>
      </c>
      <c r="C48" s="166" t="n">
        <f aca="false">IF(C5&gt;0,MAX(0,(C45-C46)/C5),0)</f>
        <v>60</v>
      </c>
    </row>
  </sheetData>
  <mergeCells count="4">
    <mergeCell ref="B2:J2"/>
    <mergeCell ref="B4:E4"/>
    <mergeCell ref="B11:I11"/>
    <mergeCell ref="B44:E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6B6B"/>
    <pageSetUpPr fitToPage="false"/>
  </sheetPr>
  <dimension ref="B1:C35"/>
  <sheetViews>
    <sheetView showFormulas="false" showGridLines="false" showRowColHeaders="true" showZeros="true" rightToLeft="false" tabSelected="false" showOutlineSymbols="true" defaultGridColor="true" view="normal" topLeftCell="A9" colorId="64" zoomScale="100" zoomScaleNormal="100" zoomScalePageLayoutView="100" workbookViewId="0">
      <selection pane="topLeft" activeCell="B26" activeCellId="0" sqref="B26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8"/>
    <col collapsed="false" customWidth="true" hidden="false" outlineLevel="0" max="3" min="3" style="1" width="55"/>
    <col collapsed="false" customWidth="true" hidden="false" outlineLevel="0" max="4" min="4" style="1" width="2"/>
  </cols>
  <sheetData>
    <row r="1" customFormat="false" ht="9.75" hidden="false" customHeight="true" outlineLevel="0" collapsed="false"/>
    <row r="2" customFormat="false" ht="45" hidden="false" customHeight="true" outlineLevel="0" collapsed="false">
      <c r="B2" s="167" t="s">
        <v>407</v>
      </c>
      <c r="C2" s="167"/>
    </row>
    <row r="4" customFormat="false" ht="13.5" hidden="false" customHeight="true" outlineLevel="0" collapsed="false"/>
    <row r="5" customFormat="false" ht="25.5" hidden="false" customHeight="true" outlineLevel="0" collapsed="false">
      <c r="B5" s="92" t="s">
        <v>408</v>
      </c>
      <c r="C5" s="168" t="s">
        <v>409</v>
      </c>
    </row>
    <row r="6" customFormat="false" ht="18" hidden="false" customHeight="true" outlineLevel="0" collapsed="false">
      <c r="B6" s="169" t="s">
        <v>410</v>
      </c>
      <c r="C6" s="169"/>
    </row>
    <row r="7" customFormat="false" ht="18" hidden="false" customHeight="true" outlineLevel="0" collapsed="false">
      <c r="B7" s="170" t="s">
        <v>411</v>
      </c>
      <c r="C7" s="170"/>
    </row>
    <row r="8" customFormat="false" ht="18" hidden="false" customHeight="true" outlineLevel="0" collapsed="false">
      <c r="B8" s="169" t="s">
        <v>412</v>
      </c>
      <c r="C8" s="169"/>
    </row>
    <row r="9" customFormat="false" ht="18" hidden="false" customHeight="true" outlineLevel="0" collapsed="false">
      <c r="B9" s="170" t="s">
        <v>413</v>
      </c>
      <c r="C9" s="170"/>
    </row>
    <row r="10" customFormat="false" ht="13.5" hidden="false" customHeight="true" outlineLevel="0" collapsed="false"/>
    <row r="11" customFormat="false" ht="25.5" hidden="false" customHeight="true" outlineLevel="0" collapsed="false">
      <c r="B11" s="92" t="s">
        <v>414</v>
      </c>
      <c r="C11" s="168" t="s">
        <v>415</v>
      </c>
    </row>
    <row r="12" customFormat="false" ht="18" hidden="false" customHeight="true" outlineLevel="0" collapsed="false">
      <c r="B12" s="169" t="s">
        <v>416</v>
      </c>
      <c r="C12" s="169"/>
    </row>
    <row r="13" customFormat="false" ht="18" hidden="false" customHeight="true" outlineLevel="0" collapsed="false">
      <c r="B13" s="170" t="s">
        <v>417</v>
      </c>
      <c r="C13" s="170"/>
    </row>
    <row r="14" customFormat="false" ht="18" hidden="false" customHeight="true" outlineLevel="0" collapsed="false">
      <c r="B14" s="169" t="s">
        <v>418</v>
      </c>
      <c r="C14" s="169"/>
    </row>
    <row r="15" customFormat="false" ht="18" hidden="false" customHeight="true" outlineLevel="0" collapsed="false">
      <c r="B15" s="170" t="s">
        <v>419</v>
      </c>
      <c r="C15" s="170"/>
    </row>
    <row r="16" customFormat="false" ht="18" hidden="false" customHeight="true" outlineLevel="0" collapsed="false">
      <c r="B16" s="169" t="s">
        <v>420</v>
      </c>
      <c r="C16" s="169"/>
    </row>
    <row r="17" customFormat="false" ht="18" hidden="false" customHeight="true" outlineLevel="0" collapsed="false">
      <c r="B17" s="170" t="s">
        <v>421</v>
      </c>
      <c r="C17" s="170"/>
    </row>
    <row r="18" customFormat="false" ht="13.5" hidden="false" customHeight="true" outlineLevel="0" collapsed="false"/>
    <row r="19" customFormat="false" ht="25.5" hidden="false" customHeight="true" outlineLevel="0" collapsed="false">
      <c r="B19" s="92" t="s">
        <v>422</v>
      </c>
      <c r="C19" s="168" t="s">
        <v>423</v>
      </c>
    </row>
    <row r="20" customFormat="false" ht="18" hidden="false" customHeight="true" outlineLevel="0" collapsed="false">
      <c r="B20" s="169" t="s">
        <v>424</v>
      </c>
      <c r="C20" s="169"/>
    </row>
    <row r="21" customFormat="false" ht="18" hidden="false" customHeight="true" outlineLevel="0" collapsed="false">
      <c r="B21" s="170" t="s">
        <v>425</v>
      </c>
      <c r="C21" s="170"/>
    </row>
    <row r="22" customFormat="false" ht="18" hidden="false" customHeight="true" outlineLevel="0" collapsed="false">
      <c r="B22" s="169" t="s">
        <v>426</v>
      </c>
      <c r="C22" s="169"/>
    </row>
    <row r="23" customFormat="false" ht="18" hidden="false" customHeight="true" outlineLevel="0" collapsed="false">
      <c r="B23" s="170" t="s">
        <v>427</v>
      </c>
      <c r="C23" s="170"/>
    </row>
    <row r="24" customFormat="false" ht="13.5" hidden="false" customHeight="true" outlineLevel="0" collapsed="false"/>
    <row r="25" customFormat="false" ht="25.5" hidden="false" customHeight="true" outlineLevel="0" collapsed="false">
      <c r="B25" s="92" t="s">
        <v>428</v>
      </c>
      <c r="C25" s="168" t="s">
        <v>429</v>
      </c>
    </row>
    <row r="26" customFormat="false" ht="18" hidden="false" customHeight="true" outlineLevel="0" collapsed="false">
      <c r="B26" s="169" t="s">
        <v>430</v>
      </c>
      <c r="C26" s="169"/>
    </row>
    <row r="27" customFormat="false" ht="18" hidden="false" customHeight="true" outlineLevel="0" collapsed="false">
      <c r="B27" s="170" t="s">
        <v>431</v>
      </c>
      <c r="C27" s="170"/>
    </row>
    <row r="28" customFormat="false" ht="18" hidden="false" customHeight="true" outlineLevel="0" collapsed="false">
      <c r="B28" s="169" t="s">
        <v>432</v>
      </c>
      <c r="C28" s="169"/>
    </row>
    <row r="29" customFormat="false" ht="18" hidden="false" customHeight="true" outlineLevel="0" collapsed="false">
      <c r="B29" s="170" t="s">
        <v>433</v>
      </c>
      <c r="C29" s="170"/>
    </row>
    <row r="30" customFormat="false" ht="13.5" hidden="false" customHeight="true" outlineLevel="0" collapsed="false"/>
    <row r="31" customFormat="false" ht="25.5" hidden="false" customHeight="true" outlineLevel="0" collapsed="false">
      <c r="B31" s="92" t="s">
        <v>434</v>
      </c>
      <c r="C31" s="168" t="s">
        <v>435</v>
      </c>
    </row>
    <row r="32" customFormat="false" ht="18" hidden="false" customHeight="true" outlineLevel="0" collapsed="false">
      <c r="B32" s="169" t="s">
        <v>436</v>
      </c>
      <c r="C32" s="169"/>
    </row>
    <row r="33" customFormat="false" ht="18" hidden="false" customHeight="true" outlineLevel="0" collapsed="false">
      <c r="B33" s="170" t="s">
        <v>437</v>
      </c>
      <c r="C33" s="170"/>
    </row>
    <row r="34" customFormat="false" ht="18" hidden="false" customHeight="true" outlineLevel="0" collapsed="false">
      <c r="B34" s="169" t="s">
        <v>438</v>
      </c>
      <c r="C34" s="169"/>
    </row>
    <row r="35" customFormat="false" ht="18" hidden="false" customHeight="true" outlineLevel="0" collapsed="false">
      <c r="B35" s="170" t="s">
        <v>439</v>
      </c>
      <c r="C35" s="170"/>
    </row>
  </sheetData>
  <mergeCells count="23">
    <mergeCell ref="B2:C2"/>
    <mergeCell ref="B6:C6"/>
    <mergeCell ref="B7:C7"/>
    <mergeCell ref="B8:C8"/>
    <mergeCell ref="B9:C9"/>
    <mergeCell ref="B12:C12"/>
    <mergeCell ref="B13:C13"/>
    <mergeCell ref="B14:C14"/>
    <mergeCell ref="B15:C15"/>
    <mergeCell ref="B16:C16"/>
    <mergeCell ref="B17:C17"/>
    <mergeCell ref="B20:C20"/>
    <mergeCell ref="B21:C21"/>
    <mergeCell ref="B22:C22"/>
    <mergeCell ref="B23:C23"/>
    <mergeCell ref="B26:C26"/>
    <mergeCell ref="B27:C27"/>
    <mergeCell ref="B28:C28"/>
    <mergeCell ref="B29:C29"/>
    <mergeCell ref="B32:C32"/>
    <mergeCell ref="B33:C33"/>
    <mergeCell ref="B34:C34"/>
    <mergeCell ref="B35:C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74C3C"/>
    <pageSetUpPr fitToPage="false"/>
  </sheetPr>
  <dimension ref="B1:K8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68" activePane="bottomRight" state="frozen"/>
      <selection pane="topLeft" activeCell="A1" activeCellId="0" sqref="A1"/>
      <selection pane="topRight" activeCell="C1" activeCellId="0" sqref="C1"/>
      <selection pane="bottomLeft" activeCell="A68" activeCellId="0" sqref="A68"/>
      <selection pane="bottomRigh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3" min="2" style="1" width="14"/>
    <col collapsed="false" customWidth="true" hidden="false" outlineLevel="0" max="4" min="4" style="1" width="42"/>
    <col collapsed="false" customWidth="true" hidden="false" outlineLevel="0" max="6" min="5" style="1" width="16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4"/>
    <col collapsed="false" customWidth="true" hidden="false" outlineLevel="0" max="10" min="10" style="1" width="30"/>
    <col collapsed="false" customWidth="true" hidden="false" outlineLevel="0" max="11" min="11" style="1" width="4"/>
  </cols>
  <sheetData>
    <row r="1" customFormat="false" ht="7.5" hidden="false" customHeight="true" outlineLevel="0" collapsed="false"/>
    <row r="2" customFormat="false" ht="48" hidden="false" customHeight="true" outlineLevel="0" collapsed="false">
      <c r="B2" s="171" t="s">
        <v>440</v>
      </c>
      <c r="C2" s="171"/>
      <c r="D2" s="171"/>
      <c r="E2" s="171"/>
      <c r="F2" s="171"/>
      <c r="G2" s="171"/>
      <c r="H2" s="171"/>
      <c r="I2" s="171"/>
      <c r="J2" s="171"/>
    </row>
    <row r="3" customFormat="false" ht="21.75" hidden="false" customHeight="true" outlineLevel="0" collapsed="false">
      <c r="B3" s="4" t="s">
        <v>441</v>
      </c>
      <c r="C3" s="4"/>
      <c r="D3" s="4"/>
      <c r="E3" s="4"/>
      <c r="F3" s="4"/>
      <c r="G3" s="4"/>
      <c r="H3" s="4"/>
      <c r="I3" s="4"/>
      <c r="J3" s="4"/>
    </row>
    <row r="4" customFormat="false" ht="7.5" hidden="false" customHeight="true" outlineLevel="0" collapsed="false"/>
    <row r="5" customFormat="false" ht="31.5" hidden="false" customHeight="true" outlineLevel="0" collapsed="false">
      <c r="B5" s="172" t="s">
        <v>442</v>
      </c>
      <c r="C5" s="172"/>
      <c r="D5" s="173" t="s">
        <v>443</v>
      </c>
      <c r="E5" s="173"/>
      <c r="F5" s="65" t="s">
        <v>444</v>
      </c>
      <c r="G5" s="65"/>
      <c r="H5" s="174" t="s">
        <v>445</v>
      </c>
      <c r="I5" s="174"/>
    </row>
    <row r="6" customFormat="false" ht="9.75" hidden="false" customHeight="true" outlineLevel="0" collapsed="false"/>
    <row r="7" customFormat="false" ht="25.5" hidden="false" customHeight="true" outlineLevel="0" collapsed="false">
      <c r="B7" s="12" t="s">
        <v>207</v>
      </c>
      <c r="C7" s="12" t="s">
        <v>446</v>
      </c>
      <c r="D7" s="12" t="s">
        <v>447</v>
      </c>
      <c r="E7" s="12" t="s">
        <v>448</v>
      </c>
      <c r="F7" s="12" t="s">
        <v>210</v>
      </c>
      <c r="G7" s="12" t="s">
        <v>211</v>
      </c>
      <c r="H7" s="12" t="s">
        <v>11</v>
      </c>
      <c r="I7" s="12" t="s">
        <v>449</v>
      </c>
      <c r="J7" s="12" t="s">
        <v>213</v>
      </c>
      <c r="K7" s="12" t="s">
        <v>450</v>
      </c>
    </row>
    <row r="8" customFormat="false" ht="19.5" hidden="false" customHeight="true" outlineLevel="0" collapsed="false">
      <c r="B8" s="101" t="n">
        <v>1</v>
      </c>
      <c r="C8" s="66" t="s">
        <v>251</v>
      </c>
      <c r="D8" s="66" t="s">
        <v>260</v>
      </c>
      <c r="E8" s="13" t="s">
        <v>216</v>
      </c>
      <c r="F8" s="20" t="n">
        <v>588</v>
      </c>
      <c r="G8" s="175"/>
      <c r="H8" s="66" t="s">
        <v>171</v>
      </c>
      <c r="I8" s="66" t="s">
        <v>217</v>
      </c>
      <c r="J8" s="66" t="s">
        <v>252</v>
      </c>
      <c r="K8" s="66" t="s">
        <v>451</v>
      </c>
    </row>
    <row r="9" customFormat="false" ht="19.5" hidden="false" customHeight="true" outlineLevel="0" collapsed="false">
      <c r="B9" s="104" t="n">
        <v>2</v>
      </c>
      <c r="C9" s="68" t="s">
        <v>251</v>
      </c>
      <c r="D9" s="68" t="s">
        <v>260</v>
      </c>
      <c r="E9" s="17" t="s">
        <v>253</v>
      </c>
      <c r="F9" s="22" t="n">
        <v>143</v>
      </c>
      <c r="G9" s="176"/>
      <c r="H9" s="68" t="s">
        <v>171</v>
      </c>
      <c r="I9" s="68" t="s">
        <v>452</v>
      </c>
      <c r="J9" s="68" t="s">
        <v>252</v>
      </c>
      <c r="K9" s="68" t="s">
        <v>451</v>
      </c>
    </row>
    <row r="10" customFormat="false" ht="19.5" hidden="false" customHeight="true" outlineLevel="0" collapsed="false">
      <c r="B10" s="101" t="n">
        <v>3</v>
      </c>
      <c r="C10" s="66" t="s">
        <v>251</v>
      </c>
      <c r="D10" s="66" t="s">
        <v>251</v>
      </c>
      <c r="E10" s="13" t="s">
        <v>239</v>
      </c>
      <c r="F10" s="175"/>
      <c r="G10" s="177" t="n">
        <v>4600</v>
      </c>
      <c r="H10" s="66" t="s">
        <v>240</v>
      </c>
      <c r="I10" s="66" t="s">
        <v>241</v>
      </c>
      <c r="J10" s="66" t="s">
        <v>252</v>
      </c>
      <c r="K10" s="66" t="s">
        <v>451</v>
      </c>
    </row>
    <row r="11" customFormat="false" ht="19.5" hidden="false" customHeight="true" outlineLevel="0" collapsed="false">
      <c r="B11" s="104" t="n">
        <v>4</v>
      </c>
      <c r="C11" s="68" t="s">
        <v>251</v>
      </c>
      <c r="D11" s="68" t="s">
        <v>260</v>
      </c>
      <c r="E11" s="17" t="s">
        <v>453</v>
      </c>
      <c r="F11" s="176"/>
      <c r="G11" s="25" t="n">
        <v>27.48</v>
      </c>
      <c r="H11" s="68" t="s">
        <v>171</v>
      </c>
      <c r="I11" s="68" t="s">
        <v>454</v>
      </c>
      <c r="J11" s="68" t="s">
        <v>252</v>
      </c>
      <c r="K11" s="68" t="s">
        <v>455</v>
      </c>
    </row>
    <row r="12" customFormat="false" ht="19.5" hidden="false" customHeight="true" outlineLevel="0" collapsed="false">
      <c r="B12" s="101" t="n">
        <v>5</v>
      </c>
      <c r="C12" s="66" t="s">
        <v>256</v>
      </c>
      <c r="D12" s="66" t="s">
        <v>260</v>
      </c>
      <c r="E12" s="13" t="s">
        <v>223</v>
      </c>
      <c r="F12" s="20" t="n">
        <v>98</v>
      </c>
      <c r="G12" s="175"/>
      <c r="H12" s="66" t="s">
        <v>171</v>
      </c>
      <c r="I12" s="66" t="s">
        <v>452</v>
      </c>
      <c r="J12" s="66" t="s">
        <v>252</v>
      </c>
      <c r="K12" s="66" t="s">
        <v>451</v>
      </c>
    </row>
    <row r="13" customFormat="false" ht="19.5" hidden="false" customHeight="true" outlineLevel="0" collapsed="false">
      <c r="B13" s="104" t="n">
        <v>6</v>
      </c>
      <c r="C13" s="68" t="s">
        <v>257</v>
      </c>
      <c r="D13" s="68" t="s">
        <v>260</v>
      </c>
      <c r="E13" s="17" t="s">
        <v>223</v>
      </c>
      <c r="F13" s="22" t="n">
        <v>332.5</v>
      </c>
      <c r="G13" s="176"/>
      <c r="H13" s="68" t="s">
        <v>171</v>
      </c>
      <c r="I13" s="68" t="s">
        <v>452</v>
      </c>
      <c r="J13" s="68" t="s">
        <v>252</v>
      </c>
      <c r="K13" s="68" t="s">
        <v>451</v>
      </c>
    </row>
    <row r="14" customFormat="false" ht="19.5" hidden="false" customHeight="true" outlineLevel="0" collapsed="false">
      <c r="B14" s="101" t="n">
        <v>7</v>
      </c>
      <c r="C14" s="66" t="s">
        <v>258</v>
      </c>
      <c r="D14" s="66" t="s">
        <v>260</v>
      </c>
      <c r="E14" s="13" t="s">
        <v>216</v>
      </c>
      <c r="F14" s="20" t="n">
        <v>129</v>
      </c>
      <c r="G14" s="175"/>
      <c r="H14" s="66" t="s">
        <v>171</v>
      </c>
      <c r="I14" s="66" t="s">
        <v>217</v>
      </c>
      <c r="J14" s="66" t="s">
        <v>252</v>
      </c>
      <c r="K14" s="66" t="s">
        <v>451</v>
      </c>
    </row>
    <row r="15" customFormat="false" ht="19.5" hidden="false" customHeight="true" outlineLevel="0" collapsed="false">
      <c r="B15" s="104" t="n">
        <v>8</v>
      </c>
      <c r="C15" s="68" t="s">
        <v>258</v>
      </c>
      <c r="D15" s="68" t="s">
        <v>260</v>
      </c>
      <c r="E15" s="17" t="s">
        <v>226</v>
      </c>
      <c r="F15" s="22" t="n">
        <v>100</v>
      </c>
      <c r="G15" s="176"/>
      <c r="H15" s="68" t="s">
        <v>171</v>
      </c>
      <c r="I15" s="68" t="s">
        <v>456</v>
      </c>
      <c r="J15" s="68" t="s">
        <v>252</v>
      </c>
      <c r="K15" s="68" t="s">
        <v>455</v>
      </c>
    </row>
    <row r="16" customFormat="false" ht="19.5" hidden="false" customHeight="true" outlineLevel="0" collapsed="false">
      <c r="B16" s="101" t="n">
        <v>9</v>
      </c>
      <c r="C16" s="66" t="s">
        <v>259</v>
      </c>
      <c r="D16" s="66" t="s">
        <v>260</v>
      </c>
      <c r="E16" s="13" t="s">
        <v>223</v>
      </c>
      <c r="F16" s="20" t="n">
        <v>217.5</v>
      </c>
      <c r="G16" s="175"/>
      <c r="H16" s="66" t="s">
        <v>171</v>
      </c>
      <c r="I16" s="66" t="s">
        <v>452</v>
      </c>
      <c r="J16" s="66" t="s">
        <v>252</v>
      </c>
      <c r="K16" s="66" t="s">
        <v>451</v>
      </c>
    </row>
    <row r="17" customFormat="false" ht="19.5" hidden="false" customHeight="true" outlineLevel="0" collapsed="false">
      <c r="B17" s="104" t="n">
        <v>10</v>
      </c>
      <c r="C17" s="68" t="s">
        <v>260</v>
      </c>
      <c r="D17" s="68" t="s">
        <v>267</v>
      </c>
      <c r="E17" s="17" t="s">
        <v>261</v>
      </c>
      <c r="F17" s="22" t="n">
        <v>900</v>
      </c>
      <c r="G17" s="176"/>
      <c r="H17" s="68" t="s">
        <v>29</v>
      </c>
      <c r="I17" s="68" t="s">
        <v>262</v>
      </c>
      <c r="J17" s="68" t="s">
        <v>252</v>
      </c>
      <c r="K17" s="68" t="s">
        <v>451</v>
      </c>
    </row>
    <row r="18" customFormat="false" ht="19.5" hidden="false" customHeight="true" outlineLevel="0" collapsed="false">
      <c r="B18" s="101" t="n">
        <v>11</v>
      </c>
      <c r="C18" s="66" t="s">
        <v>260</v>
      </c>
      <c r="D18" s="66" t="s">
        <v>267</v>
      </c>
      <c r="E18" s="13" t="s">
        <v>263</v>
      </c>
      <c r="F18" s="20" t="n">
        <v>411</v>
      </c>
      <c r="G18" s="175"/>
      <c r="H18" s="66" t="s">
        <v>171</v>
      </c>
      <c r="I18" s="66" t="s">
        <v>221</v>
      </c>
      <c r="J18" s="66" t="s">
        <v>252</v>
      </c>
      <c r="K18" s="66" t="s">
        <v>451</v>
      </c>
    </row>
    <row r="19" customFormat="false" ht="19.5" hidden="false" customHeight="true" outlineLevel="0" collapsed="false">
      <c r="B19" s="104" t="n">
        <v>12</v>
      </c>
      <c r="C19" s="68" t="s">
        <v>260</v>
      </c>
      <c r="D19" s="68" t="s">
        <v>267</v>
      </c>
      <c r="E19" s="17" t="s">
        <v>264</v>
      </c>
      <c r="F19" s="22" t="n">
        <v>200</v>
      </c>
      <c r="G19" s="176"/>
      <c r="H19" s="68" t="s">
        <v>167</v>
      </c>
      <c r="I19" s="68" t="s">
        <v>20</v>
      </c>
      <c r="J19" s="68" t="s">
        <v>252</v>
      </c>
      <c r="K19" s="68" t="s">
        <v>451</v>
      </c>
    </row>
    <row r="20" customFormat="false" ht="19.5" hidden="false" customHeight="true" outlineLevel="0" collapsed="false">
      <c r="B20" s="101" t="n">
        <v>13</v>
      </c>
      <c r="C20" s="66" t="s">
        <v>260</v>
      </c>
      <c r="D20" s="66" t="s">
        <v>274</v>
      </c>
      <c r="E20" s="13" t="s">
        <v>457</v>
      </c>
      <c r="F20" s="175"/>
      <c r="G20" s="177" t="n">
        <v>129</v>
      </c>
      <c r="H20" s="66" t="s">
        <v>171</v>
      </c>
      <c r="I20" s="66" t="s">
        <v>217</v>
      </c>
      <c r="J20" s="66" t="s">
        <v>252</v>
      </c>
      <c r="K20" s="66" t="s">
        <v>451</v>
      </c>
    </row>
    <row r="21" customFormat="false" ht="19.5" hidden="false" customHeight="true" outlineLevel="0" collapsed="false">
      <c r="B21" s="104" t="n">
        <v>14</v>
      </c>
      <c r="C21" s="68" t="s">
        <v>260</v>
      </c>
      <c r="D21" s="68" t="s">
        <v>274</v>
      </c>
      <c r="E21" s="17" t="s">
        <v>266</v>
      </c>
      <c r="F21" s="22" t="n">
        <v>776.51</v>
      </c>
      <c r="G21" s="176"/>
      <c r="H21" s="68" t="s">
        <v>167</v>
      </c>
      <c r="I21" s="68" t="s">
        <v>20</v>
      </c>
      <c r="J21" s="68" t="s">
        <v>252</v>
      </c>
      <c r="K21" s="68" t="s">
        <v>451</v>
      </c>
    </row>
    <row r="22" customFormat="false" ht="19.5" hidden="false" customHeight="true" outlineLevel="0" collapsed="false">
      <c r="B22" s="101" t="n">
        <v>15</v>
      </c>
      <c r="C22" s="66" t="s">
        <v>260</v>
      </c>
      <c r="D22" s="66" t="s">
        <v>274</v>
      </c>
      <c r="E22" s="13" t="s">
        <v>216</v>
      </c>
      <c r="F22" s="20" t="n">
        <v>633.2</v>
      </c>
      <c r="G22" s="175"/>
      <c r="H22" s="66" t="s">
        <v>171</v>
      </c>
      <c r="I22" s="66" t="s">
        <v>217</v>
      </c>
      <c r="J22" s="66" t="s">
        <v>252</v>
      </c>
      <c r="K22" s="66" t="s">
        <v>451</v>
      </c>
    </row>
    <row r="23" customFormat="false" ht="19.5" hidden="false" customHeight="true" outlineLevel="0" collapsed="false">
      <c r="B23" s="104" t="n">
        <v>16</v>
      </c>
      <c r="C23" s="68" t="s">
        <v>260</v>
      </c>
      <c r="D23" s="68" t="s">
        <v>274</v>
      </c>
      <c r="E23" s="17" t="s">
        <v>243</v>
      </c>
      <c r="F23" s="22" t="n">
        <v>144.97</v>
      </c>
      <c r="G23" s="176"/>
      <c r="H23" s="68" t="s">
        <v>244</v>
      </c>
      <c r="I23" s="68" t="s">
        <v>245</v>
      </c>
      <c r="J23" s="68" t="s">
        <v>252</v>
      </c>
      <c r="K23" s="68" t="s">
        <v>451</v>
      </c>
    </row>
    <row r="24" customFormat="false" ht="19.5" hidden="false" customHeight="true" outlineLevel="0" collapsed="false">
      <c r="B24" s="101" t="n">
        <v>17</v>
      </c>
      <c r="C24" s="66" t="s">
        <v>260</v>
      </c>
      <c r="D24" s="66" t="s">
        <v>267</v>
      </c>
      <c r="E24" s="13" t="s">
        <v>226</v>
      </c>
      <c r="F24" s="20" t="n">
        <v>100</v>
      </c>
      <c r="G24" s="175"/>
      <c r="H24" s="66" t="s">
        <v>171</v>
      </c>
      <c r="I24" s="66" t="s">
        <v>456</v>
      </c>
      <c r="J24" s="66" t="s">
        <v>252</v>
      </c>
      <c r="K24" s="66" t="s">
        <v>455</v>
      </c>
    </row>
    <row r="25" customFormat="false" ht="19.5" hidden="false" customHeight="true" outlineLevel="0" collapsed="false">
      <c r="B25" s="104" t="n">
        <v>18</v>
      </c>
      <c r="C25" s="68" t="s">
        <v>267</v>
      </c>
      <c r="D25" s="68" t="s">
        <v>274</v>
      </c>
      <c r="E25" s="17" t="s">
        <v>268</v>
      </c>
      <c r="F25" s="22" t="n">
        <v>161</v>
      </c>
      <c r="G25" s="176"/>
      <c r="H25" s="68" t="s">
        <v>179</v>
      </c>
      <c r="I25" s="68" t="s">
        <v>458</v>
      </c>
      <c r="J25" s="68" t="s">
        <v>252</v>
      </c>
      <c r="K25" s="68" t="s">
        <v>451</v>
      </c>
    </row>
    <row r="26" customFormat="false" ht="19.5" hidden="false" customHeight="true" outlineLevel="0" collapsed="false">
      <c r="B26" s="101" t="n">
        <v>19</v>
      </c>
      <c r="C26" s="66" t="s">
        <v>267</v>
      </c>
      <c r="D26" s="66" t="s">
        <v>459</v>
      </c>
      <c r="E26" s="13" t="s">
        <v>271</v>
      </c>
      <c r="F26" s="20" t="n">
        <v>700</v>
      </c>
      <c r="G26" s="175"/>
      <c r="H26" s="66" t="s">
        <v>167</v>
      </c>
      <c r="I26" s="66" t="s">
        <v>20</v>
      </c>
      <c r="J26" s="66" t="s">
        <v>252</v>
      </c>
      <c r="K26" s="66" t="s">
        <v>451</v>
      </c>
    </row>
    <row r="27" customFormat="false" ht="19.5" hidden="false" customHeight="true" outlineLevel="0" collapsed="false">
      <c r="B27" s="104" t="n">
        <v>20</v>
      </c>
      <c r="C27" s="68" t="s">
        <v>267</v>
      </c>
      <c r="D27" s="68" t="s">
        <v>274</v>
      </c>
      <c r="E27" s="17" t="s">
        <v>226</v>
      </c>
      <c r="F27" s="22" t="n">
        <v>100</v>
      </c>
      <c r="G27" s="176"/>
      <c r="H27" s="68" t="s">
        <v>171</v>
      </c>
      <c r="I27" s="68" t="s">
        <v>456</v>
      </c>
      <c r="J27" s="68" t="s">
        <v>252</v>
      </c>
      <c r="K27" s="68" t="s">
        <v>455</v>
      </c>
    </row>
    <row r="28" customFormat="false" ht="19.5" hidden="false" customHeight="true" outlineLevel="0" collapsed="false">
      <c r="B28" s="101" t="n">
        <v>21</v>
      </c>
      <c r="C28" s="66" t="s">
        <v>267</v>
      </c>
      <c r="D28" s="66" t="s">
        <v>274</v>
      </c>
      <c r="E28" s="13" t="s">
        <v>272</v>
      </c>
      <c r="F28" s="20" t="n">
        <v>347</v>
      </c>
      <c r="G28" s="175"/>
      <c r="H28" s="66" t="s">
        <v>185</v>
      </c>
      <c r="I28" s="66" t="s">
        <v>460</v>
      </c>
      <c r="J28" s="66" t="s">
        <v>252</v>
      </c>
      <c r="K28" s="66" t="s">
        <v>455</v>
      </c>
    </row>
    <row r="29" customFormat="false" ht="19.5" hidden="false" customHeight="true" outlineLevel="0" collapsed="false">
      <c r="B29" s="104" t="n">
        <v>22</v>
      </c>
      <c r="C29" s="68" t="s">
        <v>274</v>
      </c>
      <c r="D29" s="68" t="s">
        <v>459</v>
      </c>
      <c r="E29" s="17" t="s">
        <v>461</v>
      </c>
      <c r="F29" s="22" t="n">
        <v>329</v>
      </c>
      <c r="G29" s="176"/>
      <c r="H29" s="68" t="s">
        <v>174</v>
      </c>
      <c r="I29" s="68" t="s">
        <v>276</v>
      </c>
      <c r="J29" s="68" t="s">
        <v>252</v>
      </c>
      <c r="K29" s="68" t="s">
        <v>455</v>
      </c>
    </row>
    <row r="30" customFormat="false" ht="19.5" hidden="false" customHeight="true" outlineLevel="0" collapsed="false">
      <c r="B30" s="101" t="n">
        <v>23</v>
      </c>
      <c r="C30" s="66" t="s">
        <v>274</v>
      </c>
      <c r="D30" s="66" t="s">
        <v>459</v>
      </c>
      <c r="E30" s="13" t="s">
        <v>277</v>
      </c>
      <c r="F30" s="20" t="n">
        <v>855.35</v>
      </c>
      <c r="G30" s="175"/>
      <c r="H30" s="66" t="s">
        <v>178</v>
      </c>
      <c r="I30" s="66" t="s">
        <v>278</v>
      </c>
      <c r="J30" s="66" t="s">
        <v>252</v>
      </c>
      <c r="K30" s="66" t="s">
        <v>455</v>
      </c>
    </row>
    <row r="31" customFormat="false" ht="19.5" hidden="false" customHeight="true" outlineLevel="0" collapsed="false">
      <c r="B31" s="104" t="n">
        <v>24</v>
      </c>
      <c r="C31" s="68" t="s">
        <v>279</v>
      </c>
      <c r="D31" s="68" t="s">
        <v>462</v>
      </c>
      <c r="E31" s="17" t="s">
        <v>280</v>
      </c>
      <c r="F31" s="22" t="n">
        <v>340</v>
      </c>
      <c r="G31" s="176"/>
      <c r="H31" s="68" t="s">
        <v>29</v>
      </c>
      <c r="I31" s="68" t="s">
        <v>281</v>
      </c>
      <c r="J31" s="68" t="s">
        <v>252</v>
      </c>
      <c r="K31" s="68" t="s">
        <v>451</v>
      </c>
    </row>
    <row r="32" customFormat="false" ht="19.5" hidden="false" customHeight="true" outlineLevel="0" collapsed="false">
      <c r="B32" s="101" t="n">
        <v>25</v>
      </c>
      <c r="C32" s="66" t="s">
        <v>279</v>
      </c>
      <c r="D32" s="66" t="s">
        <v>462</v>
      </c>
      <c r="E32" s="13" t="s">
        <v>239</v>
      </c>
      <c r="F32" s="175"/>
      <c r="G32" s="177" t="n">
        <v>555</v>
      </c>
      <c r="H32" s="66" t="s">
        <v>240</v>
      </c>
      <c r="I32" s="66" t="s">
        <v>241</v>
      </c>
      <c r="J32" s="66" t="s">
        <v>252</v>
      </c>
      <c r="K32" s="66" t="s">
        <v>451</v>
      </c>
    </row>
    <row r="33" customFormat="false" ht="19.5" hidden="false" customHeight="true" outlineLevel="0" collapsed="false">
      <c r="B33" s="104" t="n">
        <v>26</v>
      </c>
      <c r="C33" s="68" t="s">
        <v>279</v>
      </c>
      <c r="D33" s="68" t="s">
        <v>462</v>
      </c>
      <c r="E33" s="17" t="s">
        <v>239</v>
      </c>
      <c r="F33" s="176"/>
      <c r="G33" s="25" t="n">
        <v>415</v>
      </c>
      <c r="H33" s="68" t="s">
        <v>240</v>
      </c>
      <c r="I33" s="68" t="s">
        <v>241</v>
      </c>
      <c r="J33" s="68" t="s">
        <v>252</v>
      </c>
      <c r="K33" s="68" t="s">
        <v>451</v>
      </c>
    </row>
    <row r="34" customFormat="false" ht="19.5" hidden="false" customHeight="true" outlineLevel="0" collapsed="false">
      <c r="B34" s="101" t="n">
        <v>27</v>
      </c>
      <c r="C34" s="66" t="s">
        <v>282</v>
      </c>
      <c r="D34" s="66" t="s">
        <v>283</v>
      </c>
      <c r="E34" s="13" t="s">
        <v>223</v>
      </c>
      <c r="F34" s="20" t="n">
        <v>98</v>
      </c>
      <c r="G34" s="175"/>
      <c r="H34" s="66" t="s">
        <v>171</v>
      </c>
      <c r="I34" s="66" t="s">
        <v>452</v>
      </c>
      <c r="J34" s="66" t="s">
        <v>252</v>
      </c>
      <c r="K34" s="66" t="s">
        <v>451</v>
      </c>
    </row>
    <row r="35" customFormat="false" ht="19.5" hidden="false" customHeight="true" outlineLevel="0" collapsed="false">
      <c r="B35" s="104" t="n">
        <v>28</v>
      </c>
      <c r="C35" s="68" t="s">
        <v>283</v>
      </c>
      <c r="D35" s="68" t="s">
        <v>286</v>
      </c>
      <c r="E35" s="17" t="s">
        <v>463</v>
      </c>
      <c r="F35" s="22" t="n">
        <v>917.4</v>
      </c>
      <c r="G35" s="176"/>
      <c r="H35" s="68" t="s">
        <v>167</v>
      </c>
      <c r="I35" s="68" t="s">
        <v>20</v>
      </c>
      <c r="J35" s="68" t="s">
        <v>252</v>
      </c>
      <c r="K35" s="68" t="s">
        <v>451</v>
      </c>
    </row>
    <row r="36" customFormat="false" ht="19.5" hidden="false" customHeight="true" outlineLevel="0" collapsed="false">
      <c r="B36" s="101" t="n">
        <v>29</v>
      </c>
      <c r="C36" s="66" t="s">
        <v>283</v>
      </c>
      <c r="D36" s="66" t="s">
        <v>286</v>
      </c>
      <c r="E36" s="13" t="s">
        <v>285</v>
      </c>
      <c r="F36" s="20" t="n">
        <v>212.75</v>
      </c>
      <c r="G36" s="175"/>
      <c r="H36" s="66" t="s">
        <v>171</v>
      </c>
      <c r="I36" s="66" t="s">
        <v>221</v>
      </c>
      <c r="J36" s="66" t="s">
        <v>252</v>
      </c>
      <c r="K36" s="66" t="s">
        <v>451</v>
      </c>
    </row>
    <row r="37" customFormat="false" ht="19.5" hidden="false" customHeight="true" outlineLevel="0" collapsed="false">
      <c r="B37" s="104" t="n">
        <v>30</v>
      </c>
      <c r="C37" s="68" t="s">
        <v>286</v>
      </c>
      <c r="D37" s="68" t="s">
        <v>287</v>
      </c>
      <c r="E37" s="17" t="s">
        <v>226</v>
      </c>
      <c r="F37" s="22" t="n">
        <v>50</v>
      </c>
      <c r="G37" s="176"/>
      <c r="H37" s="68" t="s">
        <v>171</v>
      </c>
      <c r="I37" s="68" t="s">
        <v>456</v>
      </c>
      <c r="J37" s="68" t="s">
        <v>252</v>
      </c>
      <c r="K37" s="68" t="s">
        <v>455</v>
      </c>
    </row>
    <row r="38" customFormat="false" ht="19.5" hidden="false" customHeight="true" outlineLevel="0" collapsed="false">
      <c r="B38" s="101" t="n">
        <v>31</v>
      </c>
      <c r="C38" s="66" t="s">
        <v>286</v>
      </c>
      <c r="D38" s="66" t="s">
        <v>287</v>
      </c>
      <c r="E38" s="13" t="s">
        <v>226</v>
      </c>
      <c r="F38" s="20" t="n">
        <v>50</v>
      </c>
      <c r="G38" s="175"/>
      <c r="H38" s="66" t="s">
        <v>171</v>
      </c>
      <c r="I38" s="66" t="s">
        <v>456</v>
      </c>
      <c r="J38" s="66" t="s">
        <v>252</v>
      </c>
      <c r="K38" s="66" t="s">
        <v>455</v>
      </c>
    </row>
    <row r="39" customFormat="false" ht="19.5" hidden="false" customHeight="true" outlineLevel="0" collapsed="false">
      <c r="B39" s="104" t="n">
        <v>32</v>
      </c>
      <c r="C39" s="68" t="s">
        <v>215</v>
      </c>
      <c r="D39" s="68" t="s">
        <v>464</v>
      </c>
      <c r="E39" s="17" t="s">
        <v>216</v>
      </c>
      <c r="F39" s="22" t="n">
        <v>5</v>
      </c>
      <c r="G39" s="176"/>
      <c r="H39" s="68" t="s">
        <v>171</v>
      </c>
      <c r="I39" s="68" t="s">
        <v>217</v>
      </c>
      <c r="J39" s="68" t="s">
        <v>227</v>
      </c>
      <c r="K39" s="68" t="s">
        <v>451</v>
      </c>
    </row>
    <row r="40" customFormat="false" ht="19.5" hidden="false" customHeight="true" outlineLevel="0" collapsed="false">
      <c r="B40" s="101" t="n">
        <v>33</v>
      </c>
      <c r="C40" s="66" t="s">
        <v>287</v>
      </c>
      <c r="D40" s="66" t="s">
        <v>287</v>
      </c>
      <c r="E40" s="13" t="s">
        <v>239</v>
      </c>
      <c r="F40" s="175"/>
      <c r="G40" s="177" t="n">
        <v>5000</v>
      </c>
      <c r="H40" s="66" t="s">
        <v>240</v>
      </c>
      <c r="I40" s="66" t="s">
        <v>241</v>
      </c>
      <c r="J40" s="66" t="s">
        <v>288</v>
      </c>
      <c r="K40" s="66" t="s">
        <v>451</v>
      </c>
    </row>
    <row r="41" customFormat="false" ht="19.5" hidden="false" customHeight="true" outlineLevel="0" collapsed="false">
      <c r="B41" s="104" t="n">
        <v>34</v>
      </c>
      <c r="C41" s="68" t="s">
        <v>290</v>
      </c>
      <c r="D41" s="68" t="s">
        <v>300</v>
      </c>
      <c r="E41" s="17" t="s">
        <v>291</v>
      </c>
      <c r="F41" s="22" t="n">
        <v>196</v>
      </c>
      <c r="G41" s="176"/>
      <c r="H41" s="68" t="s">
        <v>171</v>
      </c>
      <c r="I41" s="68" t="s">
        <v>221</v>
      </c>
      <c r="J41" s="68" t="s">
        <v>288</v>
      </c>
      <c r="K41" s="68" t="s">
        <v>451</v>
      </c>
    </row>
    <row r="42" customFormat="false" ht="19.5" hidden="false" customHeight="true" outlineLevel="0" collapsed="false">
      <c r="B42" s="101" t="n">
        <v>35</v>
      </c>
      <c r="C42" s="66" t="s">
        <v>290</v>
      </c>
      <c r="D42" s="66" t="s">
        <v>300</v>
      </c>
      <c r="E42" s="13" t="s">
        <v>223</v>
      </c>
      <c r="F42" s="20" t="n">
        <v>98</v>
      </c>
      <c r="G42" s="175"/>
      <c r="H42" s="66" t="s">
        <v>171</v>
      </c>
      <c r="I42" s="66" t="s">
        <v>452</v>
      </c>
      <c r="J42" s="66" t="s">
        <v>288</v>
      </c>
      <c r="K42" s="66" t="s">
        <v>451</v>
      </c>
    </row>
    <row r="43" customFormat="false" ht="19.5" hidden="false" customHeight="true" outlineLevel="0" collapsed="false">
      <c r="B43" s="104" t="n">
        <v>36</v>
      </c>
      <c r="C43" s="68" t="s">
        <v>292</v>
      </c>
      <c r="D43" s="68" t="s">
        <v>300</v>
      </c>
      <c r="E43" s="17" t="s">
        <v>293</v>
      </c>
      <c r="F43" s="22" t="n">
        <v>300</v>
      </c>
      <c r="G43" s="176"/>
      <c r="H43" s="68" t="s">
        <v>171</v>
      </c>
      <c r="I43" s="68" t="s">
        <v>221</v>
      </c>
      <c r="J43" s="68" t="s">
        <v>288</v>
      </c>
      <c r="K43" s="68" t="s">
        <v>451</v>
      </c>
    </row>
    <row r="44" customFormat="false" ht="19.5" hidden="false" customHeight="true" outlineLevel="0" collapsed="false">
      <c r="B44" s="101" t="n">
        <v>37</v>
      </c>
      <c r="C44" s="66" t="s">
        <v>219</v>
      </c>
      <c r="D44" s="66" t="s">
        <v>465</v>
      </c>
      <c r="E44" s="13" t="s">
        <v>220</v>
      </c>
      <c r="F44" s="20" t="n">
        <v>189</v>
      </c>
      <c r="G44" s="175"/>
      <c r="H44" s="66" t="s">
        <v>171</v>
      </c>
      <c r="I44" s="66" t="s">
        <v>221</v>
      </c>
      <c r="J44" s="66" t="s">
        <v>227</v>
      </c>
      <c r="K44" s="66" t="s">
        <v>451</v>
      </c>
    </row>
    <row r="45" customFormat="false" ht="19.5" hidden="false" customHeight="true" outlineLevel="0" collapsed="false">
      <c r="B45" s="104" t="n">
        <v>38</v>
      </c>
      <c r="C45" s="68" t="s">
        <v>294</v>
      </c>
      <c r="D45" s="68" t="s">
        <v>302</v>
      </c>
      <c r="E45" s="17" t="s">
        <v>466</v>
      </c>
      <c r="F45" s="22" t="n">
        <v>1200.47</v>
      </c>
      <c r="G45" s="176"/>
      <c r="H45" s="68" t="s">
        <v>171</v>
      </c>
      <c r="I45" s="68" t="s">
        <v>217</v>
      </c>
      <c r="J45" s="68" t="s">
        <v>288</v>
      </c>
      <c r="K45" s="68" t="s">
        <v>451</v>
      </c>
    </row>
    <row r="46" customFormat="false" ht="19.5" hidden="false" customHeight="true" outlineLevel="0" collapsed="false">
      <c r="B46" s="101" t="n">
        <v>39</v>
      </c>
      <c r="C46" s="66" t="s">
        <v>294</v>
      </c>
      <c r="D46" s="66" t="s">
        <v>302</v>
      </c>
      <c r="E46" s="13" t="s">
        <v>266</v>
      </c>
      <c r="F46" s="20" t="n">
        <v>681.35</v>
      </c>
      <c r="G46" s="175"/>
      <c r="H46" s="66" t="s">
        <v>167</v>
      </c>
      <c r="I46" s="66" t="s">
        <v>20</v>
      </c>
      <c r="J46" s="66" t="s">
        <v>288</v>
      </c>
      <c r="K46" s="66" t="s">
        <v>451</v>
      </c>
    </row>
    <row r="47" customFormat="false" ht="19.5" hidden="false" customHeight="true" outlineLevel="0" collapsed="false">
      <c r="B47" s="104" t="n">
        <v>40</v>
      </c>
      <c r="C47" s="68" t="s">
        <v>294</v>
      </c>
      <c r="D47" s="68" t="s">
        <v>302</v>
      </c>
      <c r="E47" s="17" t="s">
        <v>216</v>
      </c>
      <c r="F47" s="22" t="n">
        <v>2718.9</v>
      </c>
      <c r="G47" s="176"/>
      <c r="H47" s="68" t="s">
        <v>171</v>
      </c>
      <c r="I47" s="68" t="s">
        <v>217</v>
      </c>
      <c r="J47" s="68" t="s">
        <v>288</v>
      </c>
      <c r="K47" s="68" t="s">
        <v>451</v>
      </c>
    </row>
    <row r="48" customFormat="false" ht="19.5" hidden="false" customHeight="true" outlineLevel="0" collapsed="false">
      <c r="B48" s="101" t="n">
        <v>41</v>
      </c>
      <c r="C48" s="66" t="s">
        <v>294</v>
      </c>
      <c r="D48" s="66" t="s">
        <v>300</v>
      </c>
      <c r="E48" s="13" t="s">
        <v>298</v>
      </c>
      <c r="F48" s="20" t="n">
        <v>129</v>
      </c>
      <c r="G48" s="175"/>
      <c r="H48" s="66" t="s">
        <v>185</v>
      </c>
      <c r="I48" s="66" t="s">
        <v>363</v>
      </c>
      <c r="J48" s="66" t="s">
        <v>288</v>
      </c>
      <c r="K48" s="66" t="s">
        <v>455</v>
      </c>
    </row>
    <row r="49" customFormat="false" ht="19.5" hidden="false" customHeight="true" outlineLevel="0" collapsed="false">
      <c r="B49" s="104" t="n">
        <v>42</v>
      </c>
      <c r="C49" s="68" t="s">
        <v>294</v>
      </c>
      <c r="D49" s="68" t="s">
        <v>300</v>
      </c>
      <c r="E49" s="17" t="s">
        <v>299</v>
      </c>
      <c r="F49" s="22" t="n">
        <v>216</v>
      </c>
      <c r="G49" s="176"/>
      <c r="H49" s="68" t="s">
        <v>171</v>
      </c>
      <c r="I49" s="68" t="s">
        <v>221</v>
      </c>
      <c r="J49" s="68" t="s">
        <v>288</v>
      </c>
      <c r="K49" s="68" t="s">
        <v>455</v>
      </c>
    </row>
    <row r="50" customFormat="false" ht="19.5" hidden="false" customHeight="true" outlineLevel="0" collapsed="false">
      <c r="B50" s="101" t="n">
        <v>43</v>
      </c>
      <c r="C50" s="66" t="s">
        <v>294</v>
      </c>
      <c r="D50" s="66" t="s">
        <v>300</v>
      </c>
      <c r="E50" s="13" t="s">
        <v>226</v>
      </c>
      <c r="F50" s="20" t="n">
        <v>250</v>
      </c>
      <c r="G50" s="175"/>
      <c r="H50" s="66" t="s">
        <v>171</v>
      </c>
      <c r="I50" s="66" t="s">
        <v>456</v>
      </c>
      <c r="J50" s="66" t="s">
        <v>288</v>
      </c>
      <c r="K50" s="66" t="s">
        <v>455</v>
      </c>
    </row>
    <row r="51" customFormat="false" ht="19.5" hidden="false" customHeight="true" outlineLevel="0" collapsed="false">
      <c r="B51" s="104" t="n">
        <v>44</v>
      </c>
      <c r="C51" s="68" t="s">
        <v>300</v>
      </c>
      <c r="D51" s="68" t="s">
        <v>302</v>
      </c>
      <c r="E51" s="17" t="s">
        <v>291</v>
      </c>
      <c r="F51" s="22" t="n">
        <v>133</v>
      </c>
      <c r="G51" s="176"/>
      <c r="H51" s="68" t="s">
        <v>171</v>
      </c>
      <c r="I51" s="68" t="s">
        <v>221</v>
      </c>
      <c r="J51" s="68" t="s">
        <v>288</v>
      </c>
      <c r="K51" s="68" t="s">
        <v>451</v>
      </c>
    </row>
    <row r="52" customFormat="false" ht="19.5" hidden="false" customHeight="true" outlineLevel="0" collapsed="false">
      <c r="B52" s="101" t="n">
        <v>45</v>
      </c>
      <c r="C52" s="66" t="s">
        <v>300</v>
      </c>
      <c r="D52" s="66" t="s">
        <v>302</v>
      </c>
      <c r="E52" s="13" t="s">
        <v>301</v>
      </c>
      <c r="F52" s="20" t="n">
        <v>539</v>
      </c>
      <c r="G52" s="175"/>
      <c r="H52" s="66" t="s">
        <v>171</v>
      </c>
      <c r="I52" s="66" t="s">
        <v>467</v>
      </c>
      <c r="J52" s="66" t="s">
        <v>288</v>
      </c>
      <c r="K52" s="66" t="s">
        <v>451</v>
      </c>
    </row>
    <row r="53" customFormat="false" ht="19.5" hidden="false" customHeight="true" outlineLevel="0" collapsed="false">
      <c r="B53" s="104" t="n">
        <v>46</v>
      </c>
      <c r="C53" s="68" t="s">
        <v>300</v>
      </c>
      <c r="D53" s="68" t="s">
        <v>300</v>
      </c>
      <c r="E53" s="17" t="s">
        <v>239</v>
      </c>
      <c r="F53" s="176"/>
      <c r="G53" s="25" t="n">
        <v>1500</v>
      </c>
      <c r="H53" s="68" t="s">
        <v>240</v>
      </c>
      <c r="I53" s="68" t="s">
        <v>241</v>
      </c>
      <c r="J53" s="68" t="s">
        <v>288</v>
      </c>
      <c r="K53" s="68" t="s">
        <v>451</v>
      </c>
    </row>
    <row r="54" customFormat="false" ht="19.5" hidden="false" customHeight="true" outlineLevel="0" collapsed="false">
      <c r="B54" s="101" t="n">
        <v>47</v>
      </c>
      <c r="C54" s="66" t="s">
        <v>222</v>
      </c>
      <c r="D54" s="66" t="s">
        <v>229</v>
      </c>
      <c r="E54" s="13" t="s">
        <v>223</v>
      </c>
      <c r="F54" s="20" t="n">
        <v>194</v>
      </c>
      <c r="G54" s="175"/>
      <c r="H54" s="66" t="s">
        <v>171</v>
      </c>
      <c r="I54" s="66" t="s">
        <v>452</v>
      </c>
      <c r="J54" s="66" t="s">
        <v>227</v>
      </c>
      <c r="K54" s="66" t="s">
        <v>451</v>
      </c>
    </row>
    <row r="55" customFormat="false" ht="19.5" hidden="false" customHeight="true" outlineLevel="0" collapsed="false">
      <c r="B55" s="104" t="n">
        <v>48</v>
      </c>
      <c r="C55" s="68" t="s">
        <v>225</v>
      </c>
      <c r="D55" s="68" t="s">
        <v>229</v>
      </c>
      <c r="E55" s="17" t="s">
        <v>226</v>
      </c>
      <c r="F55" s="22" t="n">
        <v>100</v>
      </c>
      <c r="G55" s="176"/>
      <c r="H55" s="68" t="s">
        <v>171</v>
      </c>
      <c r="I55" s="68" t="s">
        <v>456</v>
      </c>
      <c r="J55" s="68" t="s">
        <v>227</v>
      </c>
      <c r="K55" s="68" t="s">
        <v>455</v>
      </c>
    </row>
    <row r="56" customFormat="false" ht="19.5" hidden="false" customHeight="true" outlineLevel="0" collapsed="false">
      <c r="B56" s="101" t="n">
        <v>49</v>
      </c>
      <c r="C56" s="66" t="s">
        <v>229</v>
      </c>
      <c r="D56" s="66" t="s">
        <v>232</v>
      </c>
      <c r="E56" s="13" t="s">
        <v>223</v>
      </c>
      <c r="F56" s="20" t="n">
        <v>98</v>
      </c>
      <c r="G56" s="175"/>
      <c r="H56" s="66" t="s">
        <v>171</v>
      </c>
      <c r="I56" s="66" t="s">
        <v>452</v>
      </c>
      <c r="J56" s="66" t="s">
        <v>227</v>
      </c>
      <c r="K56" s="66" t="s">
        <v>451</v>
      </c>
    </row>
    <row r="57" customFormat="false" ht="19.5" hidden="false" customHeight="true" outlineLevel="0" collapsed="false">
      <c r="B57" s="104" t="n">
        <v>50</v>
      </c>
      <c r="C57" s="68" t="s">
        <v>229</v>
      </c>
      <c r="D57" s="68" t="s">
        <v>232</v>
      </c>
      <c r="E57" s="17" t="s">
        <v>230</v>
      </c>
      <c r="F57" s="22" t="n">
        <v>339</v>
      </c>
      <c r="G57" s="176"/>
      <c r="H57" s="68" t="s">
        <v>29</v>
      </c>
      <c r="I57" s="68" t="s">
        <v>231</v>
      </c>
      <c r="J57" s="68" t="s">
        <v>227</v>
      </c>
      <c r="K57" s="68" t="s">
        <v>451</v>
      </c>
    </row>
    <row r="58" customFormat="false" ht="19.5" hidden="false" customHeight="true" outlineLevel="0" collapsed="false">
      <c r="B58" s="101" t="n">
        <v>51</v>
      </c>
      <c r="C58" s="66" t="s">
        <v>229</v>
      </c>
      <c r="D58" s="66" t="s">
        <v>468</v>
      </c>
      <c r="E58" s="13" t="s">
        <v>216</v>
      </c>
      <c r="F58" s="20" t="n">
        <v>792.6</v>
      </c>
      <c r="G58" s="175"/>
      <c r="H58" s="66" t="s">
        <v>171</v>
      </c>
      <c r="I58" s="66" t="s">
        <v>217</v>
      </c>
      <c r="J58" s="66" t="s">
        <v>227</v>
      </c>
      <c r="K58" s="66" t="s">
        <v>451</v>
      </c>
    </row>
    <row r="59" customFormat="false" ht="19.5" hidden="false" customHeight="true" outlineLevel="0" collapsed="false">
      <c r="B59" s="104" t="n">
        <v>52</v>
      </c>
      <c r="C59" s="68" t="s">
        <v>229</v>
      </c>
      <c r="D59" s="68" t="s">
        <v>468</v>
      </c>
      <c r="E59" s="17" t="s">
        <v>216</v>
      </c>
      <c r="F59" s="22" t="n">
        <v>449</v>
      </c>
      <c r="G59" s="176"/>
      <c r="H59" s="68" t="s">
        <v>171</v>
      </c>
      <c r="I59" s="68" t="s">
        <v>217</v>
      </c>
      <c r="J59" s="68" t="s">
        <v>227</v>
      </c>
      <c r="K59" s="68" t="s">
        <v>451</v>
      </c>
    </row>
    <row r="60" customFormat="false" ht="19.5" hidden="false" customHeight="true" outlineLevel="0" collapsed="false">
      <c r="B60" s="101" t="n">
        <v>53</v>
      </c>
      <c r="C60" s="66" t="s">
        <v>229</v>
      </c>
      <c r="D60" s="66" t="s">
        <v>232</v>
      </c>
      <c r="E60" s="13" t="s">
        <v>226</v>
      </c>
      <c r="F60" s="20" t="n">
        <v>100</v>
      </c>
      <c r="G60" s="175"/>
      <c r="H60" s="66" t="s">
        <v>171</v>
      </c>
      <c r="I60" s="66" t="s">
        <v>456</v>
      </c>
      <c r="J60" s="66" t="s">
        <v>227</v>
      </c>
      <c r="K60" s="66" t="s">
        <v>455</v>
      </c>
    </row>
    <row r="61" customFormat="false" ht="19.5" hidden="false" customHeight="true" outlineLevel="0" collapsed="false">
      <c r="B61" s="104" t="n">
        <v>54</v>
      </c>
      <c r="C61" s="68" t="s">
        <v>232</v>
      </c>
      <c r="D61" s="68" t="s">
        <v>468</v>
      </c>
      <c r="E61" s="17" t="s">
        <v>469</v>
      </c>
      <c r="F61" s="22" t="n">
        <v>966.13</v>
      </c>
      <c r="G61" s="176"/>
      <c r="H61" s="68" t="s">
        <v>167</v>
      </c>
      <c r="I61" s="68" t="s">
        <v>20</v>
      </c>
      <c r="J61" s="68" t="s">
        <v>227</v>
      </c>
      <c r="K61" s="68" t="s">
        <v>451</v>
      </c>
    </row>
    <row r="62" customFormat="false" ht="19.5" hidden="false" customHeight="true" outlineLevel="0" collapsed="false">
      <c r="B62" s="101" t="n">
        <v>55</v>
      </c>
      <c r="C62" s="66" t="s">
        <v>234</v>
      </c>
      <c r="D62" s="66" t="s">
        <v>242</v>
      </c>
      <c r="E62" s="13" t="s">
        <v>235</v>
      </c>
      <c r="F62" s="20" t="n">
        <v>479</v>
      </c>
      <c r="G62" s="175"/>
      <c r="H62" s="66" t="s">
        <v>176</v>
      </c>
      <c r="I62" s="66" t="s">
        <v>44</v>
      </c>
      <c r="J62" s="66" t="s">
        <v>227</v>
      </c>
      <c r="K62" s="66" t="s">
        <v>455</v>
      </c>
    </row>
    <row r="63" customFormat="false" ht="19.5" hidden="false" customHeight="true" outlineLevel="0" collapsed="false">
      <c r="B63" s="104" t="n">
        <v>56</v>
      </c>
      <c r="C63" s="68" t="s">
        <v>236</v>
      </c>
      <c r="D63" s="68" t="s">
        <v>242</v>
      </c>
      <c r="E63" s="17" t="s">
        <v>237</v>
      </c>
      <c r="F63" s="22" t="n">
        <v>783</v>
      </c>
      <c r="G63" s="176"/>
      <c r="H63" s="68" t="s">
        <v>171</v>
      </c>
      <c r="I63" s="68" t="s">
        <v>217</v>
      </c>
      <c r="J63" s="68" t="s">
        <v>227</v>
      </c>
      <c r="K63" s="68" t="s">
        <v>451</v>
      </c>
    </row>
    <row r="64" customFormat="false" ht="19.5" hidden="false" customHeight="true" outlineLevel="0" collapsed="false">
      <c r="B64" s="101" t="n">
        <v>57</v>
      </c>
      <c r="C64" s="66" t="s">
        <v>236</v>
      </c>
      <c r="D64" s="66" t="s">
        <v>242</v>
      </c>
      <c r="E64" s="13" t="s">
        <v>470</v>
      </c>
      <c r="F64" s="20" t="n">
        <v>623</v>
      </c>
      <c r="G64" s="175"/>
      <c r="H64" s="66" t="s">
        <v>171</v>
      </c>
      <c r="I64" s="66" t="s">
        <v>452</v>
      </c>
      <c r="J64" s="66" t="s">
        <v>227</v>
      </c>
      <c r="K64" s="66" t="s">
        <v>451</v>
      </c>
    </row>
    <row r="65" customFormat="false" ht="19.5" hidden="false" customHeight="true" outlineLevel="0" collapsed="false">
      <c r="B65" s="104" t="n">
        <v>58</v>
      </c>
      <c r="C65" s="68" t="s">
        <v>236</v>
      </c>
      <c r="D65" s="68" t="s">
        <v>242</v>
      </c>
      <c r="E65" s="17" t="s">
        <v>239</v>
      </c>
      <c r="F65" s="176"/>
      <c r="G65" s="25" t="n">
        <v>449</v>
      </c>
      <c r="H65" s="68" t="s">
        <v>240</v>
      </c>
      <c r="I65" s="68" t="s">
        <v>241</v>
      </c>
      <c r="J65" s="68" t="s">
        <v>227</v>
      </c>
      <c r="K65" s="68" t="s">
        <v>451</v>
      </c>
    </row>
    <row r="66" customFormat="false" ht="19.5" hidden="false" customHeight="true" outlineLevel="0" collapsed="false">
      <c r="B66" s="101" t="n">
        <v>59</v>
      </c>
      <c r="C66" s="66" t="s">
        <v>242</v>
      </c>
      <c r="D66" s="66" t="s">
        <v>251</v>
      </c>
      <c r="E66" s="13" t="s">
        <v>243</v>
      </c>
      <c r="F66" s="20" t="n">
        <v>271.53</v>
      </c>
      <c r="G66" s="175"/>
      <c r="H66" s="66" t="s">
        <v>244</v>
      </c>
      <c r="I66" s="66" t="s">
        <v>245</v>
      </c>
      <c r="J66" s="66" t="s">
        <v>227</v>
      </c>
      <c r="K66" s="66" t="s">
        <v>451</v>
      </c>
    </row>
    <row r="67" customFormat="false" ht="19.5" hidden="false" customHeight="true" outlineLevel="0" collapsed="false">
      <c r="B67" s="104" t="n">
        <v>60</v>
      </c>
      <c r="C67" s="68" t="s">
        <v>246</v>
      </c>
      <c r="D67" s="68" t="s">
        <v>251</v>
      </c>
      <c r="E67" s="17" t="s">
        <v>247</v>
      </c>
      <c r="F67" s="22" t="n">
        <v>799</v>
      </c>
      <c r="G67" s="176"/>
      <c r="H67" s="68" t="s">
        <v>171</v>
      </c>
      <c r="I67" s="68" t="s">
        <v>221</v>
      </c>
      <c r="J67" s="68" t="s">
        <v>227</v>
      </c>
      <c r="K67" s="68" t="s">
        <v>451</v>
      </c>
    </row>
    <row r="68" customFormat="false" ht="19.5" hidden="false" customHeight="true" outlineLevel="0" collapsed="false">
      <c r="B68" s="101" t="n">
        <v>61</v>
      </c>
      <c r="C68" s="66" t="s">
        <v>246</v>
      </c>
      <c r="D68" s="66" t="s">
        <v>251</v>
      </c>
      <c r="E68" s="13" t="s">
        <v>248</v>
      </c>
      <c r="F68" s="20" t="n">
        <v>27.48</v>
      </c>
      <c r="G68" s="175"/>
      <c r="H68" s="66" t="s">
        <v>171</v>
      </c>
      <c r="I68" s="66" t="s">
        <v>454</v>
      </c>
      <c r="J68" s="66" t="s">
        <v>227</v>
      </c>
      <c r="K68" s="66" t="s">
        <v>455</v>
      </c>
    </row>
    <row r="69" customFormat="false" ht="19.5" hidden="false" customHeight="true" outlineLevel="0" collapsed="false">
      <c r="B69" s="104" t="n">
        <v>62</v>
      </c>
      <c r="C69" s="68" t="s">
        <v>246</v>
      </c>
      <c r="D69" s="68" t="s">
        <v>251</v>
      </c>
      <c r="E69" s="17" t="s">
        <v>250</v>
      </c>
      <c r="F69" s="22" t="n">
        <v>179</v>
      </c>
      <c r="G69" s="176"/>
      <c r="H69" s="68" t="s">
        <v>171</v>
      </c>
      <c r="I69" s="68" t="s">
        <v>221</v>
      </c>
      <c r="J69" s="68" t="s">
        <v>227</v>
      </c>
      <c r="K69" s="68" t="s">
        <v>455</v>
      </c>
    </row>
    <row r="70" customFormat="false" ht="25.5" hidden="false" customHeight="true" outlineLevel="0" collapsed="false">
      <c r="B70" s="65" t="s">
        <v>471</v>
      </c>
      <c r="C70" s="65"/>
      <c r="D70" s="65"/>
      <c r="F70" s="178" t="n">
        <v>21790.64</v>
      </c>
      <c r="G70" s="179" t="n">
        <v>12675.48</v>
      </c>
    </row>
    <row r="72" customFormat="false" ht="25.5" hidden="false" customHeight="true" outlineLevel="0" collapsed="false">
      <c r="B72" s="180" t="s">
        <v>472</v>
      </c>
      <c r="C72" s="180"/>
      <c r="D72" s="180"/>
      <c r="E72" s="180"/>
      <c r="F72" s="180"/>
    </row>
    <row r="73" customFormat="false" ht="21.75" hidden="false" customHeight="true" outlineLevel="0" collapsed="false">
      <c r="B73" s="12" t="s">
        <v>11</v>
      </c>
      <c r="C73" s="12" t="s">
        <v>473</v>
      </c>
      <c r="D73" s="12" t="s">
        <v>474</v>
      </c>
      <c r="E73" s="12" t="s">
        <v>475</v>
      </c>
      <c r="F73" s="12" t="s">
        <v>476</v>
      </c>
    </row>
    <row r="74" customFormat="false" ht="19.5" hidden="false" customHeight="true" outlineLevel="0" collapsed="false">
      <c r="B74" s="66" t="s">
        <v>171</v>
      </c>
      <c r="C74" s="154" t="n">
        <v>37</v>
      </c>
      <c r="D74" s="75" t="n">
        <v>13253.4</v>
      </c>
      <c r="E74" s="15" t="n">
        <v>0.608215270409681</v>
      </c>
      <c r="F74" s="66" t="s">
        <v>226</v>
      </c>
    </row>
    <row r="75" customFormat="false" ht="19.5" hidden="false" customHeight="true" outlineLevel="0" collapsed="false">
      <c r="B75" s="68" t="s">
        <v>167</v>
      </c>
      <c r="C75" s="157" t="n">
        <v>6</v>
      </c>
      <c r="D75" s="80" t="n">
        <v>4241.39</v>
      </c>
      <c r="E75" s="19" t="n">
        <v>0.194642745692646</v>
      </c>
      <c r="F75" s="68" t="s">
        <v>266</v>
      </c>
    </row>
    <row r="76" customFormat="false" ht="19.5" hidden="false" customHeight="true" outlineLevel="0" collapsed="false">
      <c r="B76" s="66" t="s">
        <v>29</v>
      </c>
      <c r="C76" s="154" t="n">
        <v>3</v>
      </c>
      <c r="D76" s="75" t="n">
        <v>1579</v>
      </c>
      <c r="E76" s="15" t="n">
        <v>0.0724623049162393</v>
      </c>
      <c r="F76" s="66" t="s">
        <v>280</v>
      </c>
    </row>
    <row r="77" customFormat="false" ht="19.5" hidden="false" customHeight="true" outlineLevel="0" collapsed="false">
      <c r="B77" s="68" t="s">
        <v>178</v>
      </c>
      <c r="C77" s="157" t="n">
        <v>1</v>
      </c>
      <c r="D77" s="80" t="n">
        <v>855.35</v>
      </c>
      <c r="E77" s="19" t="n">
        <v>0.0392530921533282</v>
      </c>
      <c r="F77" s="68" t="s">
        <v>277</v>
      </c>
    </row>
    <row r="78" customFormat="false" ht="19.5" hidden="false" customHeight="true" outlineLevel="0" collapsed="false">
      <c r="B78" s="66" t="s">
        <v>176</v>
      </c>
      <c r="C78" s="154" t="n">
        <v>1</v>
      </c>
      <c r="D78" s="75" t="n">
        <v>479</v>
      </c>
      <c r="E78" s="15" t="n">
        <v>0.0219819151709174</v>
      </c>
      <c r="F78" s="66" t="s">
        <v>235</v>
      </c>
    </row>
    <row r="79" customFormat="false" ht="19.5" hidden="false" customHeight="true" outlineLevel="0" collapsed="false">
      <c r="B79" s="68" t="s">
        <v>185</v>
      </c>
      <c r="C79" s="157" t="n">
        <v>2</v>
      </c>
      <c r="D79" s="80" t="n">
        <v>476</v>
      </c>
      <c r="E79" s="19" t="n">
        <v>0.0218442413807029</v>
      </c>
      <c r="F79" s="68" t="s">
        <v>298</v>
      </c>
    </row>
    <row r="80" customFormat="false" ht="19.5" hidden="false" customHeight="true" outlineLevel="0" collapsed="false">
      <c r="B80" s="66" t="s">
        <v>244</v>
      </c>
      <c r="C80" s="154" t="n">
        <v>2</v>
      </c>
      <c r="D80" s="75" t="n">
        <v>416.5</v>
      </c>
      <c r="E80" s="15" t="n">
        <v>0.019113711208115</v>
      </c>
      <c r="F80" s="66" t="s">
        <v>243</v>
      </c>
    </row>
    <row r="81" customFormat="false" ht="19.5" hidden="false" customHeight="true" outlineLevel="0" collapsed="false">
      <c r="B81" s="68" t="s">
        <v>174</v>
      </c>
      <c r="C81" s="157" t="n">
        <v>1</v>
      </c>
      <c r="D81" s="80" t="n">
        <v>329</v>
      </c>
      <c r="E81" s="19" t="n">
        <v>0.0150982256601917</v>
      </c>
      <c r="F81" s="68" t="s">
        <v>461</v>
      </c>
    </row>
    <row r="82" customFormat="false" ht="19.5" hidden="false" customHeight="true" outlineLevel="0" collapsed="false">
      <c r="B82" s="66" t="s">
        <v>179</v>
      </c>
      <c r="C82" s="154" t="n">
        <v>1</v>
      </c>
      <c r="D82" s="75" t="n">
        <v>161</v>
      </c>
      <c r="E82" s="15" t="n">
        <v>0.00738849340817893</v>
      </c>
      <c r="F82" s="66" t="s">
        <v>268</v>
      </c>
    </row>
  </sheetData>
  <mergeCells count="8">
    <mergeCell ref="B2:J2"/>
    <mergeCell ref="B3:J3"/>
    <mergeCell ref="B5:C5"/>
    <mergeCell ref="D5:E5"/>
    <mergeCell ref="F5:G5"/>
    <mergeCell ref="H5:I5"/>
    <mergeCell ref="B70:D70"/>
    <mergeCell ref="B72:F7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7377"/>
    <pageSetUpPr fitToPage="false"/>
  </sheetPr>
  <dimension ref="B1:I1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38"/>
    <col collapsed="false" customWidth="true" hidden="false" outlineLevel="0" max="5" min="5" style="1" width="12"/>
    <col collapsed="false" customWidth="true" hidden="false" outlineLevel="0" max="7" min="6" style="1" width="14"/>
    <col collapsed="false" customWidth="true" hidden="false" outlineLevel="0" max="8" min="8" style="1" width="22"/>
    <col collapsed="false" customWidth="true" hidden="false" outlineLevel="0" max="9" min="9" style="1" width="3"/>
  </cols>
  <sheetData>
    <row r="1" customFormat="false" ht="7.5" hidden="false" customHeight="true" outlineLevel="0" collapsed="false"/>
    <row r="2" customFormat="false" ht="48" hidden="false" customHeight="true" outlineLevel="0" collapsed="false">
      <c r="B2" s="99" t="s">
        <v>477</v>
      </c>
      <c r="C2" s="99"/>
      <c r="D2" s="99"/>
      <c r="E2" s="99"/>
      <c r="F2" s="99"/>
      <c r="G2" s="99"/>
      <c r="H2" s="99"/>
    </row>
    <row r="3" customFormat="false" ht="21.75" hidden="false" customHeight="true" outlineLevel="0" collapsed="false">
      <c r="B3" s="4" t="s">
        <v>478</v>
      </c>
      <c r="C3" s="4"/>
      <c r="D3" s="4"/>
      <c r="E3" s="4"/>
      <c r="F3" s="4"/>
      <c r="G3" s="4"/>
      <c r="H3" s="4"/>
    </row>
    <row r="4" customFormat="false" ht="7.5" hidden="false" customHeight="true" outlineLevel="0" collapsed="false"/>
    <row r="5" customFormat="false" ht="39.75" hidden="false" customHeight="true" outlineLevel="0" collapsed="false">
      <c r="B5" s="181" t="s">
        <v>479</v>
      </c>
      <c r="C5" s="182" t="s">
        <v>480</v>
      </c>
      <c r="D5" s="183" t="s">
        <v>481</v>
      </c>
      <c r="E5" s="184" t="s">
        <v>482</v>
      </c>
    </row>
    <row r="6" customFormat="false" ht="7.5" hidden="false" customHeight="true" outlineLevel="0" collapsed="false">
      <c r="B6" s="185"/>
      <c r="C6" s="185"/>
      <c r="D6" s="185"/>
      <c r="E6" s="185"/>
      <c r="F6" s="185"/>
      <c r="G6" s="185"/>
      <c r="H6" s="185"/>
      <c r="I6" s="185"/>
    </row>
    <row r="7" customFormat="false" ht="24" hidden="false" customHeight="true" outlineLevel="0" collapsed="false">
      <c r="B7" s="186" t="s">
        <v>208</v>
      </c>
      <c r="C7" s="186" t="s">
        <v>483</v>
      </c>
      <c r="D7" s="186" t="s">
        <v>484</v>
      </c>
      <c r="E7" s="186" t="s">
        <v>485</v>
      </c>
      <c r="F7" s="186" t="s">
        <v>486</v>
      </c>
      <c r="G7" s="186" t="s">
        <v>487</v>
      </c>
      <c r="H7" s="186" t="s">
        <v>11</v>
      </c>
      <c r="I7" s="185"/>
    </row>
    <row r="8" customFormat="false" ht="18.75" hidden="false" customHeight="true" outlineLevel="0" collapsed="false">
      <c r="B8" s="187" t="s">
        <v>488</v>
      </c>
      <c r="C8" s="188" t="s">
        <v>489</v>
      </c>
      <c r="D8" s="187" t="s">
        <v>490</v>
      </c>
      <c r="E8" s="189" t="n">
        <v>1</v>
      </c>
      <c r="F8" s="190" t="n">
        <v>23</v>
      </c>
      <c r="G8" s="191" t="n">
        <v>23</v>
      </c>
      <c r="H8" s="187" t="s">
        <v>491</v>
      </c>
      <c r="I8" s="185"/>
    </row>
    <row r="9" customFormat="false" ht="18.75" hidden="false" customHeight="true" outlineLevel="0" collapsed="false">
      <c r="B9" s="187" t="s">
        <v>488</v>
      </c>
      <c r="C9" s="188" t="s">
        <v>489</v>
      </c>
      <c r="D9" s="187" t="s">
        <v>492</v>
      </c>
      <c r="E9" s="189" t="n">
        <v>1</v>
      </c>
      <c r="F9" s="190" t="n">
        <v>19</v>
      </c>
      <c r="G9" s="191" t="n">
        <v>19</v>
      </c>
      <c r="H9" s="187" t="s">
        <v>491</v>
      </c>
      <c r="I9" s="185"/>
    </row>
    <row r="10" customFormat="false" ht="18.75" hidden="false" customHeight="true" outlineLevel="0" collapsed="false">
      <c r="B10" s="187" t="s">
        <v>488</v>
      </c>
      <c r="C10" s="188" t="s">
        <v>489</v>
      </c>
      <c r="D10" s="187" t="s">
        <v>493</v>
      </c>
      <c r="E10" s="189" t="n">
        <v>1</v>
      </c>
      <c r="F10" s="190" t="n">
        <v>19</v>
      </c>
      <c r="G10" s="191" t="n">
        <v>19</v>
      </c>
      <c r="H10" s="187" t="s">
        <v>491</v>
      </c>
      <c r="I10" s="185"/>
    </row>
    <row r="11" customFormat="false" ht="18.75" hidden="false" customHeight="true" outlineLevel="0" collapsed="false">
      <c r="B11" s="192" t="s">
        <v>488</v>
      </c>
      <c r="C11" s="193" t="s">
        <v>489</v>
      </c>
      <c r="D11" s="192" t="s">
        <v>494</v>
      </c>
      <c r="E11" s="194" t="n">
        <v>1</v>
      </c>
      <c r="F11" s="195" t="n">
        <v>22</v>
      </c>
      <c r="G11" s="196" t="n">
        <v>22</v>
      </c>
      <c r="H11" s="192" t="s">
        <v>495</v>
      </c>
      <c r="I11" s="185"/>
    </row>
    <row r="12" customFormat="false" ht="18.75" hidden="false" customHeight="true" outlineLevel="0" collapsed="false">
      <c r="B12" s="192" t="s">
        <v>488</v>
      </c>
      <c r="C12" s="193" t="s">
        <v>489</v>
      </c>
      <c r="D12" s="192" t="s">
        <v>496</v>
      </c>
      <c r="E12" s="194" t="n">
        <v>1</v>
      </c>
      <c r="F12" s="195" t="n">
        <v>25</v>
      </c>
      <c r="G12" s="196" t="n">
        <v>25</v>
      </c>
      <c r="H12" s="192" t="s">
        <v>495</v>
      </c>
      <c r="I12" s="185"/>
    </row>
    <row r="13" customFormat="false" ht="18.75" hidden="false" customHeight="true" outlineLevel="0" collapsed="false">
      <c r="B13" s="197" t="s">
        <v>488</v>
      </c>
      <c r="C13" s="198" t="s">
        <v>489</v>
      </c>
      <c r="D13" s="197" t="s">
        <v>497</v>
      </c>
      <c r="E13" s="199" t="n">
        <v>1</v>
      </c>
      <c r="F13" s="200" t="n">
        <v>82</v>
      </c>
      <c r="G13" s="201" t="n">
        <v>82</v>
      </c>
      <c r="H13" s="197" t="s">
        <v>498</v>
      </c>
      <c r="I13" s="185"/>
    </row>
    <row r="14" customFormat="false" ht="18.75" hidden="false" customHeight="true" outlineLevel="0" collapsed="false">
      <c r="B14" s="202" t="s">
        <v>488</v>
      </c>
      <c r="C14" s="203" t="s">
        <v>489</v>
      </c>
      <c r="D14" s="202" t="s">
        <v>499</v>
      </c>
      <c r="E14" s="204" t="n">
        <v>1</v>
      </c>
      <c r="F14" s="205" t="n">
        <v>25</v>
      </c>
      <c r="G14" s="206" t="n">
        <v>25</v>
      </c>
      <c r="H14" s="202" t="s">
        <v>500</v>
      </c>
      <c r="I14" s="185"/>
    </row>
    <row r="15" customFormat="false" ht="18.75" hidden="false" customHeight="true" outlineLevel="0" collapsed="false">
      <c r="B15" s="192" t="s">
        <v>501</v>
      </c>
      <c r="C15" s="193" t="s">
        <v>489</v>
      </c>
      <c r="D15" s="192" t="s">
        <v>502</v>
      </c>
      <c r="E15" s="194" t="n">
        <v>2</v>
      </c>
      <c r="F15" s="195" t="n">
        <v>18.5</v>
      </c>
      <c r="G15" s="196" t="n">
        <v>37</v>
      </c>
      <c r="H15" s="192" t="s">
        <v>495</v>
      </c>
      <c r="I15" s="185"/>
    </row>
    <row r="16" customFormat="false" ht="18.75" hidden="false" customHeight="true" outlineLevel="0" collapsed="false">
      <c r="B16" s="192" t="s">
        <v>503</v>
      </c>
      <c r="C16" s="193" t="s">
        <v>489</v>
      </c>
      <c r="D16" s="192" t="s">
        <v>504</v>
      </c>
      <c r="E16" s="194" t="n">
        <v>2</v>
      </c>
      <c r="F16" s="195" t="n">
        <v>44</v>
      </c>
      <c r="G16" s="196" t="n">
        <v>88</v>
      </c>
      <c r="H16" s="192" t="s">
        <v>495</v>
      </c>
      <c r="I16" s="185"/>
    </row>
    <row r="17" customFormat="false" ht="18.75" hidden="false" customHeight="true" outlineLevel="0" collapsed="false">
      <c r="B17" s="192" t="s">
        <v>503</v>
      </c>
      <c r="C17" s="193" t="s">
        <v>489</v>
      </c>
      <c r="D17" s="192" t="s">
        <v>505</v>
      </c>
      <c r="E17" s="194" t="n">
        <v>2</v>
      </c>
      <c r="F17" s="195" t="n">
        <v>15</v>
      </c>
      <c r="G17" s="196" t="n">
        <v>30</v>
      </c>
      <c r="H17" s="192" t="s">
        <v>495</v>
      </c>
      <c r="I17" s="185"/>
    </row>
    <row r="18" customFormat="false" ht="18.75" hidden="false" customHeight="true" outlineLevel="0" collapsed="false">
      <c r="B18" s="187" t="s">
        <v>503</v>
      </c>
      <c r="C18" s="188" t="s">
        <v>489</v>
      </c>
      <c r="D18" s="187" t="s">
        <v>506</v>
      </c>
      <c r="E18" s="189" t="n">
        <v>1</v>
      </c>
      <c r="F18" s="190" t="n">
        <v>36</v>
      </c>
      <c r="G18" s="191" t="n">
        <v>36</v>
      </c>
      <c r="H18" s="187" t="s">
        <v>491</v>
      </c>
      <c r="I18" s="185"/>
    </row>
    <row r="19" customFormat="false" ht="18.75" hidden="false" customHeight="true" outlineLevel="0" collapsed="false">
      <c r="B19" s="187" t="s">
        <v>503</v>
      </c>
      <c r="C19" s="188" t="s">
        <v>489</v>
      </c>
      <c r="D19" s="187" t="s">
        <v>507</v>
      </c>
      <c r="E19" s="189" t="n">
        <v>1</v>
      </c>
      <c r="F19" s="190" t="n">
        <v>36</v>
      </c>
      <c r="G19" s="191" t="n">
        <v>36</v>
      </c>
      <c r="H19" s="187" t="s">
        <v>491</v>
      </c>
      <c r="I19" s="185"/>
    </row>
    <row r="20" customFormat="false" ht="18.75" hidden="false" customHeight="true" outlineLevel="0" collapsed="false">
      <c r="B20" s="197" t="s">
        <v>503</v>
      </c>
      <c r="C20" s="198" t="s">
        <v>489</v>
      </c>
      <c r="D20" s="197" t="s">
        <v>497</v>
      </c>
      <c r="E20" s="199" t="n">
        <v>1</v>
      </c>
      <c r="F20" s="200" t="n">
        <v>84</v>
      </c>
      <c r="G20" s="201" t="n">
        <v>84</v>
      </c>
      <c r="H20" s="197" t="s">
        <v>498</v>
      </c>
      <c r="I20" s="185"/>
    </row>
    <row r="21" customFormat="false" ht="18.75" hidden="false" customHeight="true" outlineLevel="0" collapsed="false">
      <c r="B21" s="187" t="s">
        <v>508</v>
      </c>
      <c r="C21" s="188" t="s">
        <v>489</v>
      </c>
      <c r="D21" s="187" t="s">
        <v>509</v>
      </c>
      <c r="E21" s="189" t="n">
        <v>1</v>
      </c>
      <c r="F21" s="190" t="n">
        <v>16.5</v>
      </c>
      <c r="G21" s="191" t="n">
        <v>16.5</v>
      </c>
      <c r="H21" s="187" t="s">
        <v>491</v>
      </c>
      <c r="I21" s="185"/>
    </row>
    <row r="22" customFormat="false" ht="18.75" hidden="false" customHeight="true" outlineLevel="0" collapsed="false">
      <c r="B22" s="192" t="s">
        <v>508</v>
      </c>
      <c r="C22" s="193" t="s">
        <v>489</v>
      </c>
      <c r="D22" s="192" t="s">
        <v>510</v>
      </c>
      <c r="E22" s="194" t="n">
        <v>1</v>
      </c>
      <c r="F22" s="195" t="n">
        <v>39</v>
      </c>
      <c r="G22" s="196" t="n">
        <v>39</v>
      </c>
      <c r="H22" s="192" t="s">
        <v>495</v>
      </c>
      <c r="I22" s="185"/>
    </row>
    <row r="23" customFormat="false" ht="18.75" hidden="false" customHeight="true" outlineLevel="0" collapsed="false">
      <c r="B23" s="187" t="s">
        <v>511</v>
      </c>
      <c r="C23" s="188" t="s">
        <v>489</v>
      </c>
      <c r="D23" s="187" t="s">
        <v>512</v>
      </c>
      <c r="E23" s="189" t="n">
        <v>1</v>
      </c>
      <c r="F23" s="190" t="n">
        <v>18</v>
      </c>
      <c r="G23" s="191" t="n">
        <v>18</v>
      </c>
      <c r="H23" s="187" t="s">
        <v>491</v>
      </c>
      <c r="I23" s="185"/>
    </row>
    <row r="24" customFormat="false" ht="18.75" hidden="false" customHeight="true" outlineLevel="0" collapsed="false">
      <c r="B24" s="187" t="s">
        <v>511</v>
      </c>
      <c r="C24" s="188" t="s">
        <v>489</v>
      </c>
      <c r="D24" s="187" t="s">
        <v>513</v>
      </c>
      <c r="E24" s="189" t="n">
        <v>1</v>
      </c>
      <c r="F24" s="190" t="n">
        <v>18</v>
      </c>
      <c r="G24" s="191" t="n">
        <v>18</v>
      </c>
      <c r="H24" s="187" t="s">
        <v>491</v>
      </c>
      <c r="I24" s="185"/>
    </row>
    <row r="25" customFormat="false" ht="18.75" hidden="false" customHeight="true" outlineLevel="0" collapsed="false">
      <c r="B25" s="187" t="s">
        <v>511</v>
      </c>
      <c r="C25" s="188" t="s">
        <v>489</v>
      </c>
      <c r="D25" s="187" t="s">
        <v>514</v>
      </c>
      <c r="E25" s="189" t="n">
        <v>1</v>
      </c>
      <c r="F25" s="190" t="n">
        <v>55</v>
      </c>
      <c r="G25" s="191" t="n">
        <v>55</v>
      </c>
      <c r="H25" s="187" t="s">
        <v>491</v>
      </c>
      <c r="I25" s="185"/>
    </row>
    <row r="26" customFormat="false" ht="18.75" hidden="false" customHeight="true" outlineLevel="0" collapsed="false">
      <c r="B26" s="187" t="s">
        <v>511</v>
      </c>
      <c r="C26" s="188" t="s">
        <v>489</v>
      </c>
      <c r="D26" s="187" t="s">
        <v>515</v>
      </c>
      <c r="E26" s="189" t="n">
        <v>1</v>
      </c>
      <c r="F26" s="190" t="n">
        <v>55</v>
      </c>
      <c r="G26" s="191" t="n">
        <v>55</v>
      </c>
      <c r="H26" s="187" t="s">
        <v>491</v>
      </c>
      <c r="I26" s="185"/>
    </row>
    <row r="27" customFormat="false" ht="18.75" hidden="false" customHeight="true" outlineLevel="0" collapsed="false">
      <c r="B27" s="197" t="s">
        <v>511</v>
      </c>
      <c r="C27" s="198" t="s">
        <v>489</v>
      </c>
      <c r="D27" s="197" t="s">
        <v>497</v>
      </c>
      <c r="E27" s="199" t="n">
        <v>1</v>
      </c>
      <c r="F27" s="200" t="n">
        <v>82</v>
      </c>
      <c r="G27" s="201" t="n">
        <v>82</v>
      </c>
      <c r="H27" s="197" t="s">
        <v>498</v>
      </c>
      <c r="I27" s="185"/>
    </row>
    <row r="28" customFormat="false" ht="18.75" hidden="false" customHeight="true" outlineLevel="0" collapsed="false">
      <c r="B28" s="192" t="s">
        <v>516</v>
      </c>
      <c r="C28" s="193" t="s">
        <v>489</v>
      </c>
      <c r="D28" s="192" t="s">
        <v>517</v>
      </c>
      <c r="E28" s="194" t="n">
        <v>1</v>
      </c>
      <c r="F28" s="195" t="n">
        <v>38</v>
      </c>
      <c r="G28" s="196" t="n">
        <v>38</v>
      </c>
      <c r="H28" s="192" t="s">
        <v>495</v>
      </c>
      <c r="I28" s="185"/>
    </row>
    <row r="29" customFormat="false" ht="18.75" hidden="false" customHeight="true" outlineLevel="0" collapsed="false">
      <c r="B29" s="192" t="s">
        <v>516</v>
      </c>
      <c r="C29" s="193" t="s">
        <v>489</v>
      </c>
      <c r="D29" s="192" t="s">
        <v>518</v>
      </c>
      <c r="E29" s="194" t="n">
        <v>3</v>
      </c>
      <c r="F29" s="195" t="n">
        <v>42.67</v>
      </c>
      <c r="G29" s="196" t="n">
        <v>128</v>
      </c>
      <c r="H29" s="192" t="s">
        <v>495</v>
      </c>
      <c r="I29" s="185"/>
    </row>
    <row r="30" customFormat="false" ht="18.75" hidden="false" customHeight="true" outlineLevel="0" collapsed="false">
      <c r="B30" s="197" t="s">
        <v>516</v>
      </c>
      <c r="C30" s="198" t="s">
        <v>489</v>
      </c>
      <c r="D30" s="197" t="s">
        <v>497</v>
      </c>
      <c r="E30" s="199" t="n">
        <v>1</v>
      </c>
      <c r="F30" s="200" t="n">
        <v>84</v>
      </c>
      <c r="G30" s="201" t="n">
        <v>84</v>
      </c>
      <c r="H30" s="197" t="s">
        <v>498</v>
      </c>
      <c r="I30" s="185"/>
    </row>
    <row r="31" customFormat="false" ht="18.75" hidden="false" customHeight="true" outlineLevel="0" collapsed="false">
      <c r="B31" s="187" t="s">
        <v>519</v>
      </c>
      <c r="C31" s="188" t="s">
        <v>489</v>
      </c>
      <c r="D31" s="187" t="s">
        <v>520</v>
      </c>
      <c r="E31" s="189" t="n">
        <v>1</v>
      </c>
      <c r="F31" s="190" t="n">
        <v>40</v>
      </c>
      <c r="G31" s="191" t="n">
        <v>40</v>
      </c>
      <c r="H31" s="187" t="s">
        <v>491</v>
      </c>
      <c r="I31" s="185"/>
    </row>
    <row r="32" customFormat="false" ht="18.75" hidden="false" customHeight="true" outlineLevel="0" collapsed="false">
      <c r="B32" s="187" t="s">
        <v>519</v>
      </c>
      <c r="C32" s="188" t="s">
        <v>489</v>
      </c>
      <c r="D32" s="187" t="s">
        <v>521</v>
      </c>
      <c r="E32" s="189" t="n">
        <v>1</v>
      </c>
      <c r="F32" s="190" t="n">
        <v>44</v>
      </c>
      <c r="G32" s="191" t="n">
        <v>44</v>
      </c>
      <c r="H32" s="187" t="s">
        <v>491</v>
      </c>
      <c r="I32" s="185"/>
    </row>
    <row r="33" customFormat="false" ht="18.75" hidden="false" customHeight="true" outlineLevel="0" collapsed="false">
      <c r="B33" s="187" t="s">
        <v>519</v>
      </c>
      <c r="C33" s="188" t="s">
        <v>489</v>
      </c>
      <c r="D33" s="187" t="s">
        <v>522</v>
      </c>
      <c r="E33" s="189" t="n">
        <v>1</v>
      </c>
      <c r="F33" s="190" t="n">
        <v>44</v>
      </c>
      <c r="G33" s="191" t="n">
        <v>44</v>
      </c>
      <c r="H33" s="187" t="s">
        <v>491</v>
      </c>
      <c r="I33" s="185"/>
    </row>
    <row r="34" customFormat="false" ht="18.75" hidden="false" customHeight="true" outlineLevel="0" collapsed="false">
      <c r="B34" s="130" t="s">
        <v>519</v>
      </c>
      <c r="C34" s="207" t="s">
        <v>489</v>
      </c>
      <c r="D34" s="130" t="s">
        <v>523</v>
      </c>
      <c r="E34" s="208" t="n">
        <v>1</v>
      </c>
      <c r="F34" s="209" t="n">
        <v>38</v>
      </c>
      <c r="G34" s="210" t="n">
        <v>38</v>
      </c>
      <c r="H34" s="130" t="s">
        <v>524</v>
      </c>
      <c r="I34" s="185"/>
    </row>
    <row r="35" customFormat="false" ht="18.75" hidden="false" customHeight="true" outlineLevel="0" collapsed="false">
      <c r="B35" s="130" t="s">
        <v>519</v>
      </c>
      <c r="C35" s="207" t="s">
        <v>489</v>
      </c>
      <c r="D35" s="130" t="s">
        <v>525</v>
      </c>
      <c r="E35" s="208" t="n">
        <v>1</v>
      </c>
      <c r="F35" s="209" t="n">
        <v>56.9</v>
      </c>
      <c r="G35" s="210" t="n">
        <v>56.9</v>
      </c>
      <c r="H35" s="130" t="s">
        <v>524</v>
      </c>
      <c r="I35" s="185"/>
    </row>
    <row r="36" customFormat="false" ht="18.75" hidden="false" customHeight="true" outlineLevel="0" collapsed="false">
      <c r="B36" s="192" t="s">
        <v>526</v>
      </c>
      <c r="C36" s="193" t="s">
        <v>489</v>
      </c>
      <c r="D36" s="192" t="s">
        <v>527</v>
      </c>
      <c r="E36" s="194" t="n">
        <v>1</v>
      </c>
      <c r="F36" s="195" t="n">
        <v>42</v>
      </c>
      <c r="G36" s="196" t="n">
        <v>42</v>
      </c>
      <c r="H36" s="192" t="s">
        <v>495</v>
      </c>
      <c r="I36" s="185"/>
    </row>
    <row r="37" customFormat="false" ht="18.75" hidden="false" customHeight="true" outlineLevel="0" collapsed="false">
      <c r="B37" s="192" t="s">
        <v>528</v>
      </c>
      <c r="C37" s="193" t="s">
        <v>489</v>
      </c>
      <c r="D37" s="192" t="s">
        <v>529</v>
      </c>
      <c r="E37" s="194" t="n">
        <v>1</v>
      </c>
      <c r="F37" s="195" t="n">
        <v>28</v>
      </c>
      <c r="G37" s="196" t="n">
        <v>28</v>
      </c>
      <c r="H37" s="192" t="s">
        <v>495</v>
      </c>
      <c r="I37" s="185"/>
    </row>
    <row r="38" customFormat="false" ht="18.75" hidden="false" customHeight="true" outlineLevel="0" collapsed="false">
      <c r="B38" s="187" t="s">
        <v>528</v>
      </c>
      <c r="C38" s="188" t="s">
        <v>489</v>
      </c>
      <c r="D38" s="187" t="s">
        <v>530</v>
      </c>
      <c r="E38" s="189" t="n">
        <v>1</v>
      </c>
      <c r="F38" s="190" t="n">
        <v>15</v>
      </c>
      <c r="G38" s="191" t="n">
        <v>15</v>
      </c>
      <c r="H38" s="187" t="s">
        <v>491</v>
      </c>
      <c r="I38" s="185"/>
    </row>
    <row r="39" customFormat="false" ht="18.75" hidden="false" customHeight="true" outlineLevel="0" collapsed="false">
      <c r="B39" s="187" t="s">
        <v>528</v>
      </c>
      <c r="C39" s="188" t="s">
        <v>489</v>
      </c>
      <c r="D39" s="187" t="s">
        <v>531</v>
      </c>
      <c r="E39" s="189" t="n">
        <v>1</v>
      </c>
      <c r="F39" s="190" t="n">
        <v>16</v>
      </c>
      <c r="G39" s="191" t="n">
        <v>16</v>
      </c>
      <c r="H39" s="187" t="s">
        <v>491</v>
      </c>
      <c r="I39" s="185"/>
    </row>
    <row r="40" customFormat="false" ht="18.75" hidden="false" customHeight="true" outlineLevel="0" collapsed="false">
      <c r="B40" s="192" t="s">
        <v>532</v>
      </c>
      <c r="C40" s="193" t="s">
        <v>489</v>
      </c>
      <c r="D40" s="192" t="s">
        <v>496</v>
      </c>
      <c r="E40" s="194" t="n">
        <v>1</v>
      </c>
      <c r="F40" s="195" t="n">
        <v>27</v>
      </c>
      <c r="G40" s="196" t="n">
        <v>27</v>
      </c>
      <c r="H40" s="192" t="s">
        <v>495</v>
      </c>
      <c r="I40" s="185"/>
    </row>
    <row r="41" customFormat="false" ht="18.75" hidden="false" customHeight="true" outlineLevel="0" collapsed="false">
      <c r="B41" s="192" t="s">
        <v>532</v>
      </c>
      <c r="C41" s="193" t="s">
        <v>489</v>
      </c>
      <c r="D41" s="192" t="s">
        <v>533</v>
      </c>
      <c r="E41" s="194" t="n">
        <v>1</v>
      </c>
      <c r="F41" s="195" t="n">
        <v>27.5</v>
      </c>
      <c r="G41" s="196" t="n">
        <v>27.5</v>
      </c>
      <c r="H41" s="192" t="s">
        <v>495</v>
      </c>
      <c r="I41" s="185"/>
    </row>
    <row r="42" customFormat="false" ht="18.75" hidden="false" customHeight="true" outlineLevel="0" collapsed="false">
      <c r="B42" s="197" t="s">
        <v>532</v>
      </c>
      <c r="C42" s="198" t="s">
        <v>489</v>
      </c>
      <c r="D42" s="197" t="s">
        <v>497</v>
      </c>
      <c r="E42" s="199" t="n">
        <v>1</v>
      </c>
      <c r="F42" s="200" t="n">
        <v>99</v>
      </c>
      <c r="G42" s="201" t="n">
        <v>99</v>
      </c>
      <c r="H42" s="197" t="s">
        <v>498</v>
      </c>
      <c r="I42" s="185"/>
    </row>
    <row r="43" customFormat="false" ht="18.75" hidden="false" customHeight="true" outlineLevel="0" collapsed="false">
      <c r="B43" s="192" t="s">
        <v>534</v>
      </c>
      <c r="C43" s="193" t="s">
        <v>489</v>
      </c>
      <c r="D43" s="192" t="s">
        <v>518</v>
      </c>
      <c r="E43" s="194" t="n">
        <v>2</v>
      </c>
      <c r="F43" s="195" t="n">
        <v>42.5</v>
      </c>
      <c r="G43" s="196" t="n">
        <v>85</v>
      </c>
      <c r="H43" s="192" t="s">
        <v>495</v>
      </c>
      <c r="I43" s="185"/>
    </row>
    <row r="44" customFormat="false" ht="18.75" hidden="false" customHeight="true" outlineLevel="0" collapsed="false">
      <c r="B44" s="187" t="s">
        <v>535</v>
      </c>
      <c r="C44" s="188" t="s">
        <v>489</v>
      </c>
      <c r="D44" s="187" t="s">
        <v>536</v>
      </c>
      <c r="E44" s="189" t="n">
        <v>1</v>
      </c>
      <c r="F44" s="190" t="n">
        <v>15</v>
      </c>
      <c r="G44" s="191" t="n">
        <v>15</v>
      </c>
      <c r="H44" s="187" t="s">
        <v>491</v>
      </c>
      <c r="I44" s="185"/>
    </row>
    <row r="45" customFormat="false" ht="18.75" hidden="false" customHeight="true" outlineLevel="0" collapsed="false">
      <c r="B45" s="187" t="s">
        <v>535</v>
      </c>
      <c r="C45" s="188" t="s">
        <v>489</v>
      </c>
      <c r="D45" s="187" t="s">
        <v>531</v>
      </c>
      <c r="E45" s="189" t="n">
        <v>1</v>
      </c>
      <c r="F45" s="190" t="n">
        <v>15</v>
      </c>
      <c r="G45" s="191" t="n">
        <v>15</v>
      </c>
      <c r="H45" s="187" t="s">
        <v>491</v>
      </c>
      <c r="I45" s="185"/>
    </row>
    <row r="46" customFormat="false" ht="18.75" hidden="false" customHeight="true" outlineLevel="0" collapsed="false">
      <c r="B46" s="197" t="s">
        <v>535</v>
      </c>
      <c r="C46" s="198" t="s">
        <v>489</v>
      </c>
      <c r="D46" s="197" t="s">
        <v>497</v>
      </c>
      <c r="E46" s="199" t="n">
        <v>1</v>
      </c>
      <c r="F46" s="200" t="n">
        <v>98</v>
      </c>
      <c r="G46" s="201" t="n">
        <v>98</v>
      </c>
      <c r="H46" s="197" t="s">
        <v>498</v>
      </c>
      <c r="I46" s="185"/>
    </row>
    <row r="47" customFormat="false" ht="18.75" hidden="false" customHeight="true" outlineLevel="0" collapsed="false">
      <c r="B47" s="192" t="s">
        <v>537</v>
      </c>
      <c r="C47" s="193" t="s">
        <v>489</v>
      </c>
      <c r="D47" s="192" t="s">
        <v>504</v>
      </c>
      <c r="E47" s="194" t="n">
        <v>2</v>
      </c>
      <c r="F47" s="195" t="n">
        <v>43.5</v>
      </c>
      <c r="G47" s="196" t="n">
        <v>87</v>
      </c>
      <c r="H47" s="192" t="s">
        <v>495</v>
      </c>
      <c r="I47" s="185"/>
    </row>
    <row r="48" customFormat="false" ht="18.75" hidden="false" customHeight="true" outlineLevel="0" collapsed="false">
      <c r="B48" s="197" t="s">
        <v>537</v>
      </c>
      <c r="C48" s="198" t="s">
        <v>489</v>
      </c>
      <c r="D48" s="197" t="s">
        <v>497</v>
      </c>
      <c r="E48" s="199" t="n">
        <v>1</v>
      </c>
      <c r="F48" s="200" t="n">
        <v>99</v>
      </c>
      <c r="G48" s="201" t="n">
        <v>99</v>
      </c>
      <c r="H48" s="197" t="s">
        <v>498</v>
      </c>
      <c r="I48" s="185"/>
    </row>
    <row r="49" customFormat="false" ht="18.75" hidden="false" customHeight="true" outlineLevel="0" collapsed="false">
      <c r="B49" s="192" t="s">
        <v>537</v>
      </c>
      <c r="C49" s="193" t="s">
        <v>489</v>
      </c>
      <c r="D49" s="192" t="s">
        <v>538</v>
      </c>
      <c r="E49" s="194" t="n">
        <v>1</v>
      </c>
      <c r="F49" s="195" t="n">
        <v>3</v>
      </c>
      <c r="G49" s="196" t="n">
        <v>3</v>
      </c>
      <c r="H49" s="192" t="s">
        <v>495</v>
      </c>
      <c r="I49" s="185"/>
    </row>
    <row r="50" customFormat="false" ht="18.75" hidden="false" customHeight="true" outlineLevel="0" collapsed="false">
      <c r="B50" s="192" t="s">
        <v>539</v>
      </c>
      <c r="C50" s="193" t="s">
        <v>489</v>
      </c>
      <c r="D50" s="192" t="s">
        <v>540</v>
      </c>
      <c r="E50" s="194" t="n">
        <v>1</v>
      </c>
      <c r="F50" s="195" t="n">
        <v>10.5</v>
      </c>
      <c r="G50" s="196" t="n">
        <v>10.5</v>
      </c>
      <c r="H50" s="192" t="s">
        <v>495</v>
      </c>
      <c r="I50" s="185"/>
    </row>
    <row r="51" customFormat="false" ht="18.75" hidden="false" customHeight="true" outlineLevel="0" collapsed="false">
      <c r="B51" s="192" t="s">
        <v>539</v>
      </c>
      <c r="C51" s="193" t="s">
        <v>489</v>
      </c>
      <c r="D51" s="192" t="s">
        <v>541</v>
      </c>
      <c r="E51" s="194" t="n">
        <v>1</v>
      </c>
      <c r="F51" s="195" t="n">
        <v>30.5</v>
      </c>
      <c r="G51" s="196" t="n">
        <v>30.5</v>
      </c>
      <c r="H51" s="192" t="s">
        <v>495</v>
      </c>
      <c r="I51" s="185"/>
    </row>
    <row r="52" customFormat="false" ht="18.75" hidden="false" customHeight="true" outlineLevel="0" collapsed="false">
      <c r="B52" s="187" t="s">
        <v>539</v>
      </c>
      <c r="C52" s="188" t="s">
        <v>489</v>
      </c>
      <c r="D52" s="187" t="s">
        <v>542</v>
      </c>
      <c r="E52" s="189" t="n">
        <v>2</v>
      </c>
      <c r="F52" s="190" t="n">
        <v>55</v>
      </c>
      <c r="G52" s="191" t="n">
        <v>110</v>
      </c>
      <c r="H52" s="187" t="s">
        <v>491</v>
      </c>
      <c r="I52" s="185"/>
    </row>
    <row r="53" customFormat="false" ht="18.75" hidden="false" customHeight="true" outlineLevel="0" collapsed="false">
      <c r="B53" s="192" t="s">
        <v>543</v>
      </c>
      <c r="C53" s="193" t="s">
        <v>489</v>
      </c>
      <c r="D53" s="192" t="s">
        <v>544</v>
      </c>
      <c r="E53" s="194" t="n">
        <v>1</v>
      </c>
      <c r="F53" s="195" t="n">
        <v>35</v>
      </c>
      <c r="G53" s="196" t="n">
        <v>35</v>
      </c>
      <c r="H53" s="192" t="s">
        <v>495</v>
      </c>
      <c r="I53" s="185"/>
    </row>
    <row r="54" customFormat="false" ht="18.75" hidden="false" customHeight="true" outlineLevel="0" collapsed="false">
      <c r="B54" s="211" t="s">
        <v>543</v>
      </c>
      <c r="C54" s="212" t="s">
        <v>489</v>
      </c>
      <c r="D54" s="211" t="s">
        <v>545</v>
      </c>
      <c r="E54" s="213" t="n">
        <v>1</v>
      </c>
      <c r="F54" s="214" t="n">
        <v>70</v>
      </c>
      <c r="G54" s="215" t="n">
        <v>70</v>
      </c>
      <c r="H54" s="211" t="s">
        <v>546</v>
      </c>
      <c r="I54" s="185"/>
    </row>
    <row r="55" customFormat="false" ht="18.75" hidden="false" customHeight="true" outlineLevel="0" collapsed="false">
      <c r="B55" s="216" t="s">
        <v>547</v>
      </c>
      <c r="C55" s="217" t="s">
        <v>489</v>
      </c>
      <c r="D55" s="216" t="s">
        <v>548</v>
      </c>
      <c r="E55" s="218" t="n">
        <v>1</v>
      </c>
      <c r="F55" s="219" t="n">
        <v>44.5</v>
      </c>
      <c r="G55" s="220" t="n">
        <v>44.5</v>
      </c>
      <c r="H55" s="216" t="s">
        <v>549</v>
      </c>
      <c r="I55" s="185"/>
    </row>
    <row r="56" customFormat="false" ht="18.75" hidden="false" customHeight="true" outlineLevel="0" collapsed="false">
      <c r="B56" s="211" t="s">
        <v>547</v>
      </c>
      <c r="C56" s="212" t="s">
        <v>489</v>
      </c>
      <c r="D56" s="211" t="s">
        <v>550</v>
      </c>
      <c r="E56" s="213" t="n">
        <v>1</v>
      </c>
      <c r="F56" s="214" t="n">
        <v>108.5</v>
      </c>
      <c r="G56" s="215" t="n">
        <v>108.5</v>
      </c>
      <c r="H56" s="211" t="s">
        <v>546</v>
      </c>
      <c r="I56" s="185"/>
    </row>
    <row r="57" customFormat="false" ht="18.75" hidden="false" customHeight="true" outlineLevel="0" collapsed="false">
      <c r="B57" s="211" t="s">
        <v>551</v>
      </c>
      <c r="C57" s="212" t="s">
        <v>489</v>
      </c>
      <c r="D57" s="211" t="s">
        <v>552</v>
      </c>
      <c r="E57" s="213" t="n">
        <v>1</v>
      </c>
      <c r="F57" s="214" t="n">
        <v>26</v>
      </c>
      <c r="G57" s="215" t="n">
        <v>26</v>
      </c>
      <c r="H57" s="211" t="s">
        <v>546</v>
      </c>
      <c r="I57" s="185"/>
    </row>
    <row r="58" customFormat="false" ht="18.75" hidden="false" customHeight="true" outlineLevel="0" collapsed="false">
      <c r="B58" s="192" t="s">
        <v>553</v>
      </c>
      <c r="C58" s="193" t="s">
        <v>489</v>
      </c>
      <c r="D58" s="192" t="s">
        <v>518</v>
      </c>
      <c r="E58" s="194" t="n">
        <v>2</v>
      </c>
      <c r="F58" s="195" t="n">
        <v>43.5</v>
      </c>
      <c r="G58" s="196" t="n">
        <v>87</v>
      </c>
      <c r="H58" s="192" t="s">
        <v>495</v>
      </c>
      <c r="I58" s="185"/>
    </row>
    <row r="59" customFormat="false" ht="18.75" hidden="false" customHeight="true" outlineLevel="0" collapsed="false">
      <c r="B59" s="187" t="s">
        <v>554</v>
      </c>
      <c r="C59" s="188" t="s">
        <v>489</v>
      </c>
      <c r="D59" s="187" t="s">
        <v>555</v>
      </c>
      <c r="E59" s="189" t="n">
        <v>1</v>
      </c>
      <c r="F59" s="190" t="n">
        <v>29</v>
      </c>
      <c r="G59" s="191" t="n">
        <v>29</v>
      </c>
      <c r="H59" s="187" t="s">
        <v>491</v>
      </c>
      <c r="I59" s="185"/>
    </row>
    <row r="60" customFormat="false" ht="18.75" hidden="false" customHeight="true" outlineLevel="0" collapsed="false">
      <c r="B60" s="187" t="s">
        <v>554</v>
      </c>
      <c r="C60" s="188" t="s">
        <v>489</v>
      </c>
      <c r="D60" s="187" t="s">
        <v>556</v>
      </c>
      <c r="E60" s="189" t="n">
        <v>1</v>
      </c>
      <c r="F60" s="190" t="n">
        <v>55</v>
      </c>
      <c r="G60" s="191" t="n">
        <v>55</v>
      </c>
      <c r="H60" s="187" t="s">
        <v>491</v>
      </c>
      <c r="I60" s="185"/>
    </row>
    <row r="61" customFormat="false" ht="18.75" hidden="false" customHeight="true" outlineLevel="0" collapsed="false">
      <c r="B61" s="187" t="s">
        <v>554</v>
      </c>
      <c r="C61" s="188" t="s">
        <v>489</v>
      </c>
      <c r="D61" s="187" t="s">
        <v>557</v>
      </c>
      <c r="E61" s="189" t="n">
        <v>1</v>
      </c>
      <c r="F61" s="190" t="n">
        <v>73</v>
      </c>
      <c r="G61" s="191" t="n">
        <v>73</v>
      </c>
      <c r="H61" s="187" t="s">
        <v>491</v>
      </c>
      <c r="I61" s="185"/>
    </row>
    <row r="62" customFormat="false" ht="18.75" hidden="false" customHeight="true" outlineLevel="0" collapsed="false">
      <c r="B62" s="187" t="s">
        <v>222</v>
      </c>
      <c r="C62" s="188" t="s">
        <v>489</v>
      </c>
      <c r="D62" s="187" t="s">
        <v>490</v>
      </c>
      <c r="E62" s="189" t="n">
        <v>1</v>
      </c>
      <c r="F62" s="190" t="n">
        <v>23</v>
      </c>
      <c r="G62" s="191" t="n">
        <v>23</v>
      </c>
      <c r="H62" s="187" t="s">
        <v>491</v>
      </c>
      <c r="I62" s="185"/>
    </row>
    <row r="63" customFormat="false" ht="18.75" hidden="false" customHeight="true" outlineLevel="0" collapsed="false">
      <c r="B63" s="187" t="s">
        <v>222</v>
      </c>
      <c r="C63" s="188" t="s">
        <v>489</v>
      </c>
      <c r="D63" s="187" t="s">
        <v>492</v>
      </c>
      <c r="E63" s="189" t="n">
        <v>3</v>
      </c>
      <c r="F63" s="190" t="n">
        <v>19</v>
      </c>
      <c r="G63" s="191" t="n">
        <v>57</v>
      </c>
      <c r="H63" s="187" t="s">
        <v>491</v>
      </c>
      <c r="I63" s="185"/>
    </row>
    <row r="64" customFormat="false" ht="18.75" hidden="false" customHeight="true" outlineLevel="0" collapsed="false">
      <c r="B64" s="187" t="s">
        <v>222</v>
      </c>
      <c r="C64" s="188" t="s">
        <v>489</v>
      </c>
      <c r="D64" s="187" t="s">
        <v>493</v>
      </c>
      <c r="E64" s="189" t="n">
        <v>3</v>
      </c>
      <c r="F64" s="190" t="n">
        <v>19</v>
      </c>
      <c r="G64" s="191" t="n">
        <v>57</v>
      </c>
      <c r="H64" s="187" t="s">
        <v>491</v>
      </c>
      <c r="I64" s="185"/>
    </row>
    <row r="65" customFormat="false" ht="18.75" hidden="false" customHeight="true" outlineLevel="0" collapsed="false">
      <c r="B65" s="192" t="s">
        <v>222</v>
      </c>
      <c r="C65" s="193" t="s">
        <v>489</v>
      </c>
      <c r="D65" s="192" t="s">
        <v>558</v>
      </c>
      <c r="E65" s="194" t="n">
        <v>1</v>
      </c>
      <c r="F65" s="195" t="n">
        <v>42</v>
      </c>
      <c r="G65" s="196" t="n">
        <v>42</v>
      </c>
      <c r="H65" s="192" t="s">
        <v>495</v>
      </c>
      <c r="I65" s="185"/>
    </row>
    <row r="66" customFormat="false" ht="18.75" hidden="false" customHeight="true" outlineLevel="0" collapsed="false">
      <c r="B66" s="192" t="s">
        <v>229</v>
      </c>
      <c r="C66" s="193" t="s">
        <v>489</v>
      </c>
      <c r="D66" s="192" t="s">
        <v>502</v>
      </c>
      <c r="E66" s="194" t="n">
        <v>2</v>
      </c>
      <c r="F66" s="195" t="n">
        <v>22</v>
      </c>
      <c r="G66" s="196" t="n">
        <v>44</v>
      </c>
      <c r="H66" s="192" t="s">
        <v>495</v>
      </c>
      <c r="I66" s="185"/>
    </row>
    <row r="67" customFormat="false" ht="18.75" hidden="false" customHeight="true" outlineLevel="0" collapsed="false">
      <c r="B67" s="187" t="s">
        <v>229</v>
      </c>
      <c r="C67" s="188" t="s">
        <v>489</v>
      </c>
      <c r="D67" s="187" t="s">
        <v>559</v>
      </c>
      <c r="E67" s="189" t="n">
        <v>2</v>
      </c>
      <c r="F67" s="190" t="n">
        <v>19</v>
      </c>
      <c r="G67" s="191" t="n">
        <v>38</v>
      </c>
      <c r="H67" s="187" t="s">
        <v>491</v>
      </c>
      <c r="I67" s="185"/>
    </row>
    <row r="68" customFormat="false" ht="18.75" hidden="false" customHeight="true" outlineLevel="0" collapsed="false">
      <c r="B68" s="187" t="s">
        <v>236</v>
      </c>
      <c r="C68" s="188" t="s">
        <v>489</v>
      </c>
      <c r="D68" s="187" t="s">
        <v>512</v>
      </c>
      <c r="E68" s="189" t="n">
        <v>2</v>
      </c>
      <c r="F68" s="190" t="n">
        <v>18</v>
      </c>
      <c r="G68" s="191" t="n">
        <v>36</v>
      </c>
      <c r="H68" s="187" t="s">
        <v>491</v>
      </c>
      <c r="I68" s="185"/>
    </row>
    <row r="69" customFormat="false" ht="18.75" hidden="false" customHeight="true" outlineLevel="0" collapsed="false">
      <c r="B69" s="192" t="s">
        <v>236</v>
      </c>
      <c r="C69" s="193" t="s">
        <v>489</v>
      </c>
      <c r="D69" s="192" t="s">
        <v>502</v>
      </c>
      <c r="E69" s="194" t="n">
        <v>2</v>
      </c>
      <c r="F69" s="195" t="n">
        <v>22</v>
      </c>
      <c r="G69" s="196" t="n">
        <v>44</v>
      </c>
      <c r="H69" s="192" t="s">
        <v>495</v>
      </c>
      <c r="I69" s="185"/>
    </row>
    <row r="70" customFormat="false" ht="18.75" hidden="false" customHeight="true" outlineLevel="0" collapsed="false">
      <c r="B70" s="197" t="s">
        <v>236</v>
      </c>
      <c r="C70" s="198" t="s">
        <v>489</v>
      </c>
      <c r="D70" s="197" t="s">
        <v>497</v>
      </c>
      <c r="E70" s="199" t="n">
        <v>1</v>
      </c>
      <c r="F70" s="200" t="n">
        <v>98</v>
      </c>
      <c r="G70" s="201" t="n">
        <v>98</v>
      </c>
      <c r="H70" s="197" t="s">
        <v>498</v>
      </c>
      <c r="I70" s="185"/>
    </row>
    <row r="71" customFormat="false" ht="18.75" hidden="false" customHeight="true" outlineLevel="0" collapsed="false">
      <c r="B71" s="192" t="s">
        <v>256</v>
      </c>
      <c r="C71" s="193" t="s">
        <v>489</v>
      </c>
      <c r="D71" s="192" t="s">
        <v>560</v>
      </c>
      <c r="E71" s="194" t="n">
        <v>2</v>
      </c>
      <c r="F71" s="195" t="n">
        <v>20</v>
      </c>
      <c r="G71" s="196" t="n">
        <v>40</v>
      </c>
      <c r="H71" s="192" t="s">
        <v>495</v>
      </c>
      <c r="I71" s="185"/>
    </row>
    <row r="72" customFormat="false" ht="18.75" hidden="false" customHeight="true" outlineLevel="0" collapsed="false">
      <c r="B72" s="187" t="s">
        <v>256</v>
      </c>
      <c r="C72" s="188" t="s">
        <v>489</v>
      </c>
      <c r="D72" s="187" t="s">
        <v>561</v>
      </c>
      <c r="E72" s="189" t="n">
        <v>2</v>
      </c>
      <c r="F72" s="190" t="n">
        <v>19</v>
      </c>
      <c r="G72" s="191" t="n">
        <v>38</v>
      </c>
      <c r="H72" s="187" t="s">
        <v>491</v>
      </c>
      <c r="I72" s="185"/>
    </row>
    <row r="73" customFormat="false" ht="18.75" hidden="false" customHeight="true" outlineLevel="0" collapsed="false">
      <c r="B73" s="187" t="s">
        <v>256</v>
      </c>
      <c r="C73" s="188" t="s">
        <v>489</v>
      </c>
      <c r="D73" s="187" t="s">
        <v>562</v>
      </c>
      <c r="E73" s="189" t="n">
        <v>2</v>
      </c>
      <c r="F73" s="190" t="n">
        <v>11</v>
      </c>
      <c r="G73" s="191" t="n">
        <v>22</v>
      </c>
      <c r="H73" s="187" t="s">
        <v>491</v>
      </c>
      <c r="I73" s="185"/>
    </row>
    <row r="74" customFormat="false" ht="18.75" hidden="false" customHeight="true" outlineLevel="0" collapsed="false">
      <c r="B74" s="197" t="s">
        <v>259</v>
      </c>
      <c r="C74" s="198" t="s">
        <v>489</v>
      </c>
      <c r="D74" s="197" t="s">
        <v>497</v>
      </c>
      <c r="E74" s="199" t="n">
        <v>1</v>
      </c>
      <c r="F74" s="200" t="n">
        <v>98</v>
      </c>
      <c r="G74" s="201" t="n">
        <v>98</v>
      </c>
      <c r="H74" s="197" t="s">
        <v>498</v>
      </c>
      <c r="I74" s="185"/>
    </row>
    <row r="75" customFormat="false" ht="18.75" hidden="false" customHeight="true" outlineLevel="0" collapsed="false">
      <c r="B75" s="192" t="s">
        <v>259</v>
      </c>
      <c r="C75" s="193" t="s">
        <v>489</v>
      </c>
      <c r="D75" s="192" t="s">
        <v>496</v>
      </c>
      <c r="E75" s="194" t="n">
        <v>1</v>
      </c>
      <c r="F75" s="195" t="n">
        <v>27</v>
      </c>
      <c r="G75" s="196" t="n">
        <v>27</v>
      </c>
      <c r="H75" s="192" t="s">
        <v>495</v>
      </c>
      <c r="I75" s="185"/>
    </row>
    <row r="76" customFormat="false" ht="18.75" hidden="false" customHeight="true" outlineLevel="0" collapsed="false">
      <c r="B76" s="192" t="s">
        <v>282</v>
      </c>
      <c r="C76" s="193" t="s">
        <v>489</v>
      </c>
      <c r="D76" s="192" t="s">
        <v>502</v>
      </c>
      <c r="E76" s="194" t="n">
        <v>1</v>
      </c>
      <c r="F76" s="195" t="n">
        <v>22</v>
      </c>
      <c r="G76" s="196" t="n">
        <v>22</v>
      </c>
      <c r="H76" s="192" t="s">
        <v>495</v>
      </c>
      <c r="I76" s="185"/>
    </row>
    <row r="77" customFormat="false" ht="18.75" hidden="false" customHeight="true" outlineLevel="0" collapsed="false">
      <c r="B77" s="197" t="s">
        <v>282</v>
      </c>
      <c r="C77" s="198" t="s">
        <v>489</v>
      </c>
      <c r="D77" s="197" t="s">
        <v>497</v>
      </c>
      <c r="E77" s="199" t="n">
        <v>1</v>
      </c>
      <c r="F77" s="200" t="n">
        <v>98</v>
      </c>
      <c r="G77" s="201" t="n">
        <v>98</v>
      </c>
      <c r="H77" s="197" t="s">
        <v>498</v>
      </c>
      <c r="I77" s="185"/>
    </row>
    <row r="78" customFormat="false" ht="18.75" hidden="false" customHeight="true" outlineLevel="0" collapsed="false">
      <c r="B78" s="192" t="s">
        <v>290</v>
      </c>
      <c r="C78" s="193" t="s">
        <v>489</v>
      </c>
      <c r="D78" s="192" t="s">
        <v>504</v>
      </c>
      <c r="E78" s="194" t="n">
        <v>2</v>
      </c>
      <c r="F78" s="195" t="n">
        <v>44</v>
      </c>
      <c r="G78" s="196" t="n">
        <v>88</v>
      </c>
      <c r="H78" s="192" t="s">
        <v>495</v>
      </c>
      <c r="I78" s="185"/>
    </row>
    <row r="79" customFormat="false" ht="18.75" hidden="false" customHeight="true" outlineLevel="0" collapsed="false">
      <c r="B79" s="197" t="s">
        <v>290</v>
      </c>
      <c r="C79" s="198" t="s">
        <v>489</v>
      </c>
      <c r="D79" s="197" t="s">
        <v>497</v>
      </c>
      <c r="E79" s="199" t="n">
        <v>1</v>
      </c>
      <c r="F79" s="200" t="n">
        <v>98</v>
      </c>
      <c r="G79" s="201" t="n">
        <v>98</v>
      </c>
      <c r="H79" s="197" t="s">
        <v>498</v>
      </c>
      <c r="I79" s="185"/>
    </row>
    <row r="80" customFormat="false" ht="18.75" hidden="false" customHeight="true" outlineLevel="0" collapsed="false">
      <c r="B80" s="211" t="s">
        <v>294</v>
      </c>
      <c r="C80" s="212" t="s">
        <v>563</v>
      </c>
      <c r="D80" s="211" t="s">
        <v>564</v>
      </c>
      <c r="E80" s="213" t="n">
        <v>1</v>
      </c>
      <c r="F80" s="214" t="n">
        <v>818.4</v>
      </c>
      <c r="G80" s="215" t="n">
        <v>818.4</v>
      </c>
      <c r="H80" s="211" t="s">
        <v>546</v>
      </c>
      <c r="I80" s="185"/>
    </row>
    <row r="81" customFormat="false" ht="18.75" hidden="false" customHeight="true" outlineLevel="0" collapsed="false">
      <c r="B81" s="221" t="s">
        <v>294</v>
      </c>
      <c r="C81" s="222" t="s">
        <v>563</v>
      </c>
      <c r="D81" s="221" t="s">
        <v>565</v>
      </c>
      <c r="E81" s="223" t="n">
        <v>1</v>
      </c>
      <c r="F81" s="224" t="n">
        <v>797.94</v>
      </c>
      <c r="G81" s="225" t="n">
        <v>797.94</v>
      </c>
      <c r="H81" s="221" t="s">
        <v>566</v>
      </c>
      <c r="I81" s="185"/>
    </row>
    <row r="82" customFormat="false" ht="18.75" hidden="false" customHeight="true" outlineLevel="0" collapsed="false">
      <c r="B82" s="221" t="s">
        <v>294</v>
      </c>
      <c r="C82" s="222" t="s">
        <v>563</v>
      </c>
      <c r="D82" s="221" t="s">
        <v>567</v>
      </c>
      <c r="E82" s="223" t="n">
        <v>1</v>
      </c>
      <c r="F82" s="224" t="n">
        <v>326.33</v>
      </c>
      <c r="G82" s="225" t="n">
        <v>326.33</v>
      </c>
      <c r="H82" s="221" t="s">
        <v>566</v>
      </c>
      <c r="I82" s="185"/>
    </row>
    <row r="83" customFormat="false" ht="18.75" hidden="false" customHeight="true" outlineLevel="0" collapsed="false">
      <c r="B83" s="221" t="s">
        <v>294</v>
      </c>
      <c r="C83" s="222" t="s">
        <v>563</v>
      </c>
      <c r="D83" s="221" t="s">
        <v>568</v>
      </c>
      <c r="E83" s="223" t="n">
        <v>1</v>
      </c>
      <c r="F83" s="224" t="n">
        <v>367.25</v>
      </c>
      <c r="G83" s="225" t="n">
        <v>367.25</v>
      </c>
      <c r="H83" s="221" t="s">
        <v>566</v>
      </c>
      <c r="I83" s="185"/>
    </row>
    <row r="84" customFormat="false" ht="18.75" hidden="false" customHeight="true" outlineLevel="0" collapsed="false">
      <c r="B84" s="202" t="s">
        <v>294</v>
      </c>
      <c r="C84" s="203" t="s">
        <v>563</v>
      </c>
      <c r="D84" s="202" t="s">
        <v>569</v>
      </c>
      <c r="E84" s="204" t="n">
        <v>1</v>
      </c>
      <c r="F84" s="205" t="n">
        <v>479.77</v>
      </c>
      <c r="G84" s="206" t="n">
        <v>479.77</v>
      </c>
      <c r="H84" s="202" t="s">
        <v>91</v>
      </c>
      <c r="I84" s="185"/>
    </row>
    <row r="85" customFormat="false" ht="18.75" hidden="false" customHeight="true" outlineLevel="0" collapsed="false">
      <c r="B85" s="221" t="s">
        <v>294</v>
      </c>
      <c r="C85" s="222" t="s">
        <v>563</v>
      </c>
      <c r="D85" s="221" t="s">
        <v>570</v>
      </c>
      <c r="E85" s="223" t="n">
        <v>1</v>
      </c>
      <c r="F85" s="224" t="n">
        <v>346.79</v>
      </c>
      <c r="G85" s="225" t="n">
        <v>346.79</v>
      </c>
      <c r="H85" s="221" t="s">
        <v>566</v>
      </c>
      <c r="I85" s="185"/>
    </row>
    <row r="86" customFormat="false" ht="18.75" hidden="false" customHeight="true" outlineLevel="0" collapsed="false">
      <c r="B86" s="202" t="s">
        <v>294</v>
      </c>
      <c r="C86" s="203" t="s">
        <v>563</v>
      </c>
      <c r="D86" s="202" t="s">
        <v>571</v>
      </c>
      <c r="E86" s="204" t="n">
        <v>2</v>
      </c>
      <c r="F86" s="205" t="n">
        <v>1226.51</v>
      </c>
      <c r="G86" s="206" t="n">
        <v>2453.02</v>
      </c>
      <c r="H86" s="202" t="s">
        <v>500</v>
      </c>
      <c r="I86" s="185"/>
    </row>
    <row r="87" customFormat="false" ht="18.75" hidden="false" customHeight="true" outlineLevel="0" collapsed="false">
      <c r="B87" s="226" t="s">
        <v>294</v>
      </c>
      <c r="C87" s="227" t="s">
        <v>563</v>
      </c>
      <c r="D87" s="226" t="s">
        <v>572</v>
      </c>
      <c r="E87" s="228" t="n">
        <v>1</v>
      </c>
      <c r="F87" s="229" t="n">
        <v>102.19</v>
      </c>
      <c r="G87" s="230" t="n">
        <v>102.19</v>
      </c>
      <c r="H87" s="226" t="s">
        <v>573</v>
      </c>
      <c r="I87" s="185"/>
    </row>
    <row r="88" customFormat="false" ht="18.75" hidden="false" customHeight="true" outlineLevel="0" collapsed="false">
      <c r="B88" s="216" t="s">
        <v>294</v>
      </c>
      <c r="C88" s="217" t="s">
        <v>563</v>
      </c>
      <c r="D88" s="216" t="s">
        <v>574</v>
      </c>
      <c r="E88" s="218" t="n">
        <v>1</v>
      </c>
      <c r="F88" s="219" t="n">
        <v>158.56</v>
      </c>
      <c r="G88" s="220" t="n">
        <v>158.56</v>
      </c>
      <c r="H88" s="216" t="s">
        <v>575</v>
      </c>
      <c r="I88" s="185"/>
    </row>
    <row r="89" customFormat="false" ht="18.75" hidden="false" customHeight="true" outlineLevel="0" collapsed="false">
      <c r="B89" s="216" t="s">
        <v>294</v>
      </c>
      <c r="C89" s="217" t="s">
        <v>563</v>
      </c>
      <c r="D89" s="216" t="s">
        <v>576</v>
      </c>
      <c r="E89" s="218" t="n">
        <v>1</v>
      </c>
      <c r="F89" s="219" t="n">
        <v>295.64</v>
      </c>
      <c r="G89" s="220" t="n">
        <v>295.64</v>
      </c>
      <c r="H89" s="216" t="s">
        <v>575</v>
      </c>
      <c r="I89" s="185"/>
    </row>
    <row r="90" customFormat="false" ht="18.75" hidden="false" customHeight="true" outlineLevel="0" collapsed="false">
      <c r="B90" s="231" t="s">
        <v>294</v>
      </c>
      <c r="C90" s="232" t="s">
        <v>563</v>
      </c>
      <c r="D90" s="231" t="s">
        <v>577</v>
      </c>
      <c r="E90" s="233" t="n">
        <v>1</v>
      </c>
      <c r="F90" s="234" t="n">
        <v>336.56</v>
      </c>
      <c r="G90" s="235" t="n">
        <v>336.56</v>
      </c>
      <c r="H90" s="231" t="s">
        <v>578</v>
      </c>
      <c r="I90" s="185"/>
    </row>
    <row r="91" customFormat="false" ht="18.75" hidden="false" customHeight="true" outlineLevel="0" collapsed="false">
      <c r="B91" s="226" t="s">
        <v>294</v>
      </c>
      <c r="C91" s="227" t="s">
        <v>563</v>
      </c>
      <c r="D91" s="226" t="s">
        <v>579</v>
      </c>
      <c r="E91" s="228" t="n">
        <v>1</v>
      </c>
      <c r="F91" s="229" t="n">
        <v>102.19</v>
      </c>
      <c r="G91" s="230" t="n">
        <v>102.19</v>
      </c>
      <c r="H91" s="226" t="s">
        <v>573</v>
      </c>
      <c r="I91" s="185"/>
    </row>
    <row r="92" customFormat="false" ht="18.75" hidden="false" customHeight="true" outlineLevel="0" collapsed="false">
      <c r="B92" s="226" t="s">
        <v>294</v>
      </c>
      <c r="C92" s="227" t="s">
        <v>563</v>
      </c>
      <c r="D92" s="226" t="s">
        <v>580</v>
      </c>
      <c r="E92" s="228" t="n">
        <v>1</v>
      </c>
      <c r="F92" s="229" t="n">
        <v>102.19</v>
      </c>
      <c r="G92" s="230" t="n">
        <v>102.19</v>
      </c>
      <c r="H92" s="226" t="s">
        <v>573</v>
      </c>
      <c r="I92" s="185"/>
    </row>
    <row r="93" customFormat="false" ht="18.75" hidden="false" customHeight="true" outlineLevel="0" collapsed="false">
      <c r="B93" s="187" t="s">
        <v>294</v>
      </c>
      <c r="C93" s="188" t="s">
        <v>563</v>
      </c>
      <c r="D93" s="187" t="s">
        <v>581</v>
      </c>
      <c r="E93" s="189" t="n">
        <v>1</v>
      </c>
      <c r="F93" s="190" t="n">
        <v>131.96</v>
      </c>
      <c r="G93" s="191" t="n">
        <v>131.96</v>
      </c>
      <c r="H93" s="187" t="s">
        <v>491</v>
      </c>
      <c r="I93" s="185"/>
    </row>
    <row r="94" customFormat="false" ht="18.75" hidden="false" customHeight="true" outlineLevel="0" collapsed="false">
      <c r="B94" s="231" t="s">
        <v>294</v>
      </c>
      <c r="C94" s="232" t="s">
        <v>563</v>
      </c>
      <c r="D94" s="231" t="s">
        <v>582</v>
      </c>
      <c r="E94" s="233" t="n">
        <v>1</v>
      </c>
      <c r="F94" s="234" t="n">
        <v>214.49</v>
      </c>
      <c r="G94" s="235" t="n">
        <v>214.49</v>
      </c>
      <c r="H94" s="231" t="s">
        <v>578</v>
      </c>
      <c r="I94" s="185"/>
    </row>
    <row r="95" customFormat="false" ht="18.75" hidden="false" customHeight="true" outlineLevel="0" collapsed="false">
      <c r="B95" s="226" t="s">
        <v>294</v>
      </c>
      <c r="C95" s="227" t="s">
        <v>563</v>
      </c>
      <c r="D95" s="226" t="s">
        <v>583</v>
      </c>
      <c r="E95" s="228" t="n">
        <v>1</v>
      </c>
      <c r="F95" s="229" t="n">
        <v>91.96</v>
      </c>
      <c r="G95" s="230" t="n">
        <v>91.96</v>
      </c>
      <c r="H95" s="226" t="s">
        <v>573</v>
      </c>
      <c r="I95" s="185"/>
    </row>
    <row r="96" customFormat="false" ht="18.75" hidden="false" customHeight="true" outlineLevel="0" collapsed="false">
      <c r="B96" s="17" t="s">
        <v>294</v>
      </c>
      <c r="C96" s="236" t="s">
        <v>563</v>
      </c>
      <c r="D96" s="17" t="s">
        <v>584</v>
      </c>
      <c r="E96" s="237" t="n">
        <v>1</v>
      </c>
      <c r="F96" s="106" t="n">
        <v>183.11</v>
      </c>
      <c r="G96" s="238" t="n">
        <v>183.11</v>
      </c>
      <c r="H96" s="17" t="s">
        <v>585</v>
      </c>
      <c r="I96" s="185"/>
    </row>
    <row r="97" customFormat="false" ht="18.75" hidden="false" customHeight="true" outlineLevel="0" collapsed="false">
      <c r="B97" s="231" t="s">
        <v>294</v>
      </c>
      <c r="C97" s="232" t="s">
        <v>563</v>
      </c>
      <c r="D97" s="231" t="s">
        <v>586</v>
      </c>
      <c r="E97" s="233" t="n">
        <v>1</v>
      </c>
      <c r="F97" s="234" t="n">
        <v>121.71</v>
      </c>
      <c r="G97" s="235" t="n">
        <v>121.71</v>
      </c>
      <c r="H97" s="231" t="s">
        <v>578</v>
      </c>
      <c r="I97" s="185"/>
    </row>
    <row r="98" customFormat="false" ht="18.75" hidden="false" customHeight="true" outlineLevel="0" collapsed="false">
      <c r="B98" s="231" t="s">
        <v>294</v>
      </c>
      <c r="C98" s="232" t="s">
        <v>563</v>
      </c>
      <c r="D98" s="231" t="s">
        <v>587</v>
      </c>
      <c r="E98" s="233" t="n">
        <v>1</v>
      </c>
      <c r="F98" s="234" t="n">
        <v>452.7</v>
      </c>
      <c r="G98" s="235" t="n">
        <v>452.7</v>
      </c>
      <c r="H98" s="231" t="s">
        <v>578</v>
      </c>
      <c r="I98" s="185"/>
    </row>
    <row r="99" customFormat="false" ht="18.75" hidden="false" customHeight="true" outlineLevel="0" collapsed="false">
      <c r="B99" s="226" t="s">
        <v>294</v>
      </c>
      <c r="C99" s="227" t="s">
        <v>563</v>
      </c>
      <c r="D99" s="226" t="s">
        <v>588</v>
      </c>
      <c r="E99" s="228" t="n">
        <v>1</v>
      </c>
      <c r="F99" s="229" t="n">
        <v>91.96</v>
      </c>
      <c r="G99" s="230" t="n">
        <v>91.96</v>
      </c>
      <c r="H99" s="226" t="s">
        <v>573</v>
      </c>
      <c r="I99" s="185"/>
    </row>
    <row r="100" customFormat="false" ht="18.75" hidden="false" customHeight="true" outlineLevel="0" collapsed="false">
      <c r="B100" s="187" t="s">
        <v>294</v>
      </c>
      <c r="C100" s="188" t="s">
        <v>563</v>
      </c>
      <c r="D100" s="187" t="s">
        <v>589</v>
      </c>
      <c r="E100" s="189" t="n">
        <v>1</v>
      </c>
      <c r="F100" s="190" t="n">
        <v>131.96</v>
      </c>
      <c r="G100" s="191" t="n">
        <v>131.96</v>
      </c>
      <c r="H100" s="187" t="s">
        <v>491</v>
      </c>
      <c r="I100" s="185"/>
    </row>
    <row r="101" customFormat="false" ht="18.75" hidden="false" customHeight="true" outlineLevel="0" collapsed="false">
      <c r="B101" s="187" t="s">
        <v>294</v>
      </c>
      <c r="C101" s="188" t="s">
        <v>563</v>
      </c>
      <c r="D101" s="187" t="s">
        <v>590</v>
      </c>
      <c r="E101" s="189" t="n">
        <v>1</v>
      </c>
      <c r="F101" s="190" t="n">
        <v>102.19</v>
      </c>
      <c r="G101" s="191" t="n">
        <v>102.19</v>
      </c>
      <c r="H101" s="187" t="s">
        <v>491</v>
      </c>
      <c r="I101" s="185"/>
    </row>
    <row r="102" customFormat="false" ht="18.75" hidden="false" customHeight="true" outlineLevel="0" collapsed="false">
      <c r="B102" s="216" t="s">
        <v>294</v>
      </c>
      <c r="C102" s="217" t="s">
        <v>563</v>
      </c>
      <c r="D102" s="216" t="s">
        <v>591</v>
      </c>
      <c r="E102" s="218" t="n">
        <v>1</v>
      </c>
      <c r="F102" s="219" t="n">
        <v>81.73</v>
      </c>
      <c r="G102" s="220" t="n">
        <v>81.73</v>
      </c>
      <c r="H102" s="216" t="s">
        <v>549</v>
      </c>
      <c r="I102" s="185"/>
    </row>
    <row r="103" customFormat="false" ht="18.75" hidden="false" customHeight="true" outlineLevel="0" collapsed="false">
      <c r="B103" s="216" t="s">
        <v>357</v>
      </c>
      <c r="C103" s="217" t="s">
        <v>563</v>
      </c>
      <c r="D103" s="216" t="s">
        <v>592</v>
      </c>
      <c r="E103" s="218" t="n">
        <v>1</v>
      </c>
      <c r="F103" s="219" t="n">
        <v>318</v>
      </c>
      <c r="G103" s="220" t="n">
        <v>318</v>
      </c>
      <c r="H103" s="216" t="s">
        <v>593</v>
      </c>
      <c r="I103" s="185"/>
    </row>
    <row r="104" customFormat="false" ht="18.75" hidden="false" customHeight="true" outlineLevel="0" collapsed="false">
      <c r="B104" s="221" t="s">
        <v>357</v>
      </c>
      <c r="C104" s="222" t="s">
        <v>563</v>
      </c>
      <c r="D104" s="221" t="s">
        <v>594</v>
      </c>
      <c r="E104" s="223" t="n">
        <v>1</v>
      </c>
      <c r="F104" s="224" t="n">
        <v>259</v>
      </c>
      <c r="G104" s="225" t="n">
        <v>259</v>
      </c>
      <c r="H104" s="221" t="s">
        <v>566</v>
      </c>
      <c r="I104" s="185"/>
    </row>
    <row r="105" customFormat="false" ht="18.75" hidden="false" customHeight="true" outlineLevel="0" collapsed="false">
      <c r="B105" s="187" t="s">
        <v>357</v>
      </c>
      <c r="C105" s="188" t="s">
        <v>563</v>
      </c>
      <c r="D105" s="187" t="s">
        <v>595</v>
      </c>
      <c r="E105" s="189" t="n">
        <v>1</v>
      </c>
      <c r="F105" s="190" t="n">
        <v>131.96</v>
      </c>
      <c r="G105" s="191" t="n">
        <v>131.96</v>
      </c>
      <c r="H105" s="187" t="s">
        <v>491</v>
      </c>
      <c r="I105" s="185"/>
    </row>
    <row r="106" customFormat="false" ht="18.75" hidden="false" customHeight="true" outlineLevel="0" collapsed="false">
      <c r="B106" s="226" t="s">
        <v>357</v>
      </c>
      <c r="C106" s="227" t="s">
        <v>563</v>
      </c>
      <c r="D106" s="226" t="s">
        <v>596</v>
      </c>
      <c r="E106" s="228" t="n">
        <v>1</v>
      </c>
      <c r="F106" s="229" t="n">
        <v>89</v>
      </c>
      <c r="G106" s="230" t="n">
        <v>89</v>
      </c>
      <c r="H106" s="226" t="s">
        <v>573</v>
      </c>
      <c r="I106" s="185"/>
    </row>
    <row r="107" customFormat="false" ht="18.75" hidden="false" customHeight="true" outlineLevel="0" collapsed="false">
      <c r="B107" s="226" t="s">
        <v>357</v>
      </c>
      <c r="C107" s="227" t="s">
        <v>563</v>
      </c>
      <c r="D107" s="226" t="s">
        <v>588</v>
      </c>
      <c r="E107" s="228" t="n">
        <v>1</v>
      </c>
      <c r="F107" s="229" t="n">
        <v>91.96</v>
      </c>
      <c r="G107" s="230" t="n">
        <v>91.96</v>
      </c>
      <c r="H107" s="226" t="s">
        <v>573</v>
      </c>
      <c r="I107" s="185"/>
    </row>
    <row r="108" customFormat="false" ht="18.75" hidden="false" customHeight="true" outlineLevel="0" collapsed="false">
      <c r="B108" s="226" t="s">
        <v>357</v>
      </c>
      <c r="C108" s="227" t="s">
        <v>563</v>
      </c>
      <c r="D108" s="226" t="s">
        <v>597</v>
      </c>
      <c r="E108" s="228" t="n">
        <v>1</v>
      </c>
      <c r="F108" s="229" t="n">
        <v>91.96</v>
      </c>
      <c r="G108" s="230" t="n">
        <v>91.96</v>
      </c>
      <c r="H108" s="226" t="s">
        <v>573</v>
      </c>
      <c r="I108" s="185"/>
    </row>
    <row r="109" customFormat="false" ht="18.75" hidden="false" customHeight="true" outlineLevel="0" collapsed="false">
      <c r="B109" s="231" t="s">
        <v>357</v>
      </c>
      <c r="C109" s="232" t="s">
        <v>563</v>
      </c>
      <c r="D109" s="231" t="s">
        <v>598</v>
      </c>
      <c r="E109" s="233" t="n">
        <v>1</v>
      </c>
      <c r="F109" s="234" t="n">
        <v>335</v>
      </c>
      <c r="G109" s="235" t="n">
        <v>335</v>
      </c>
      <c r="H109" s="231" t="s">
        <v>578</v>
      </c>
      <c r="I109" s="185"/>
    </row>
    <row r="110" customFormat="false" ht="18.75" hidden="false" customHeight="true" outlineLevel="0" collapsed="false">
      <c r="B110" s="216" t="s">
        <v>357</v>
      </c>
      <c r="C110" s="217" t="s">
        <v>563</v>
      </c>
      <c r="D110" s="216" t="s">
        <v>591</v>
      </c>
      <c r="E110" s="218" t="n">
        <v>1</v>
      </c>
      <c r="F110" s="219" t="n">
        <v>81.73</v>
      </c>
      <c r="G110" s="220" t="n">
        <v>81.73</v>
      </c>
      <c r="H110" s="216" t="s">
        <v>549</v>
      </c>
      <c r="I110" s="185"/>
    </row>
    <row r="111" customFormat="false" ht="18.75" hidden="false" customHeight="true" outlineLevel="0" collapsed="false">
      <c r="B111" s="231" t="s">
        <v>357</v>
      </c>
      <c r="C111" s="232" t="s">
        <v>563</v>
      </c>
      <c r="D111" s="231" t="s">
        <v>599</v>
      </c>
      <c r="E111" s="233" t="n">
        <v>1</v>
      </c>
      <c r="F111" s="234" t="n">
        <v>305</v>
      </c>
      <c r="G111" s="235" t="n">
        <v>305</v>
      </c>
      <c r="H111" s="231" t="s">
        <v>578</v>
      </c>
      <c r="I111" s="185"/>
    </row>
    <row r="112" customFormat="false" ht="18.75" hidden="false" customHeight="true" outlineLevel="0" collapsed="false">
      <c r="B112" s="216" t="s">
        <v>357</v>
      </c>
      <c r="C112" s="217" t="s">
        <v>563</v>
      </c>
      <c r="D112" s="216" t="s">
        <v>600</v>
      </c>
      <c r="E112" s="218" t="n">
        <v>1</v>
      </c>
      <c r="F112" s="219" t="n">
        <v>138</v>
      </c>
      <c r="G112" s="220" t="n">
        <v>138</v>
      </c>
      <c r="H112" s="216" t="s">
        <v>549</v>
      </c>
      <c r="I112" s="185"/>
    </row>
    <row r="113" customFormat="false" ht="18.75" hidden="false" customHeight="true" outlineLevel="0" collapsed="false">
      <c r="B113" s="231" t="s">
        <v>357</v>
      </c>
      <c r="C113" s="232" t="s">
        <v>563</v>
      </c>
      <c r="D113" s="231" t="s">
        <v>601</v>
      </c>
      <c r="E113" s="233" t="n">
        <v>1</v>
      </c>
      <c r="F113" s="234" t="n">
        <v>199</v>
      </c>
      <c r="G113" s="235" t="n">
        <v>199</v>
      </c>
      <c r="H113" s="231" t="s">
        <v>578</v>
      </c>
      <c r="I113" s="185"/>
    </row>
    <row r="114" customFormat="false" ht="18.75" hidden="false" customHeight="true" outlineLevel="0" collapsed="false">
      <c r="B114" s="192" t="s">
        <v>357</v>
      </c>
      <c r="C114" s="193" t="s">
        <v>563</v>
      </c>
      <c r="D114" s="192" t="s">
        <v>602</v>
      </c>
      <c r="E114" s="194" t="n">
        <v>1</v>
      </c>
      <c r="F114" s="195" t="n">
        <v>155</v>
      </c>
      <c r="G114" s="196" t="n">
        <v>155</v>
      </c>
      <c r="H114" s="192" t="s">
        <v>495</v>
      </c>
      <c r="I114" s="185"/>
    </row>
    <row r="115" customFormat="false" ht="18.75" hidden="false" customHeight="true" outlineLevel="0" collapsed="false">
      <c r="B115" s="202" t="s">
        <v>357</v>
      </c>
      <c r="C115" s="203" t="s">
        <v>563</v>
      </c>
      <c r="D115" s="202" t="s">
        <v>603</v>
      </c>
      <c r="E115" s="204" t="n">
        <v>1</v>
      </c>
      <c r="F115" s="205" t="n">
        <v>346</v>
      </c>
      <c r="G115" s="206" t="n">
        <v>346</v>
      </c>
      <c r="H115" s="202" t="s">
        <v>91</v>
      </c>
      <c r="I115" s="185"/>
    </row>
    <row r="116" customFormat="false" ht="18.75" hidden="false" customHeight="true" outlineLevel="0" collapsed="false">
      <c r="B116" s="192" t="s">
        <v>357</v>
      </c>
      <c r="C116" s="193" t="s">
        <v>563</v>
      </c>
      <c r="D116" s="192" t="s">
        <v>604</v>
      </c>
      <c r="E116" s="194" t="n">
        <v>1</v>
      </c>
      <c r="F116" s="195" t="n">
        <v>10</v>
      </c>
      <c r="G116" s="196" t="n">
        <v>10</v>
      </c>
      <c r="H116" s="192" t="s">
        <v>495</v>
      </c>
      <c r="I116" s="185"/>
    </row>
    <row r="117" customFormat="false" ht="18.75" hidden="false" customHeight="true" outlineLevel="0" collapsed="false">
      <c r="B117" s="192" t="s">
        <v>357</v>
      </c>
      <c r="C117" s="193" t="s">
        <v>563</v>
      </c>
      <c r="D117" s="192" t="s">
        <v>605</v>
      </c>
      <c r="E117" s="194" t="n">
        <v>1</v>
      </c>
      <c r="F117" s="195" t="n">
        <v>10</v>
      </c>
      <c r="G117" s="196" t="n">
        <v>10</v>
      </c>
      <c r="H117" s="192" t="s">
        <v>495</v>
      </c>
      <c r="I117" s="185"/>
    </row>
    <row r="118" customFormat="false" ht="18.75" hidden="false" customHeight="true" outlineLevel="0" collapsed="false">
      <c r="B118" s="239" t="s">
        <v>606</v>
      </c>
      <c r="C118" s="240" t="s">
        <v>607</v>
      </c>
      <c r="D118" s="239" t="s">
        <v>608</v>
      </c>
      <c r="E118" s="241" t="n">
        <v>1</v>
      </c>
      <c r="F118" s="242" t="n">
        <v>970.02</v>
      </c>
      <c r="G118" s="243" t="n">
        <v>970.02</v>
      </c>
      <c r="H118" s="239" t="s">
        <v>609</v>
      </c>
      <c r="I118" s="185"/>
    </row>
    <row r="119" customFormat="false" ht="18.75" hidden="false" customHeight="true" outlineLevel="0" collapsed="false">
      <c r="B119" s="187" t="s">
        <v>606</v>
      </c>
      <c r="C119" s="188" t="s">
        <v>489</v>
      </c>
      <c r="D119" s="187" t="s">
        <v>610</v>
      </c>
      <c r="E119" s="189" t="n">
        <v>1</v>
      </c>
      <c r="F119" s="190" t="n">
        <v>28</v>
      </c>
      <c r="G119" s="191" t="n">
        <v>28</v>
      </c>
      <c r="H119" s="187" t="s">
        <v>491</v>
      </c>
      <c r="I119" s="185"/>
    </row>
    <row r="120" customFormat="false" ht="18.75" hidden="false" customHeight="true" outlineLevel="0" collapsed="false">
      <c r="B120" s="130" t="s">
        <v>606</v>
      </c>
      <c r="C120" s="207" t="s">
        <v>489</v>
      </c>
      <c r="D120" s="130" t="s">
        <v>611</v>
      </c>
      <c r="E120" s="208" t="n">
        <v>1</v>
      </c>
      <c r="F120" s="209" t="n">
        <v>42</v>
      </c>
      <c r="G120" s="210" t="n">
        <v>42</v>
      </c>
      <c r="H120" s="130" t="s">
        <v>524</v>
      </c>
      <c r="I120" s="185"/>
    </row>
    <row r="121" customFormat="false" ht="18.75" hidden="false" customHeight="true" outlineLevel="0" collapsed="false">
      <c r="B121" s="187" t="s">
        <v>606</v>
      </c>
      <c r="C121" s="188" t="s">
        <v>489</v>
      </c>
      <c r="D121" s="187" t="s">
        <v>612</v>
      </c>
      <c r="E121" s="189" t="n">
        <v>1</v>
      </c>
      <c r="F121" s="190" t="n">
        <v>15</v>
      </c>
      <c r="G121" s="191" t="n">
        <v>15</v>
      </c>
      <c r="H121" s="187" t="s">
        <v>491</v>
      </c>
      <c r="I121" s="185"/>
    </row>
    <row r="122" customFormat="false" ht="18.75" hidden="false" customHeight="true" outlineLevel="0" collapsed="false">
      <c r="B122" s="226" t="s">
        <v>366</v>
      </c>
      <c r="C122" s="227" t="s">
        <v>613</v>
      </c>
      <c r="D122" s="226" t="s">
        <v>614</v>
      </c>
      <c r="E122" s="228" t="n">
        <v>1</v>
      </c>
      <c r="F122" s="229" t="n">
        <v>535</v>
      </c>
      <c r="G122" s="230" t="n">
        <v>535</v>
      </c>
      <c r="H122" s="226" t="s">
        <v>615</v>
      </c>
      <c r="I122" s="185"/>
    </row>
    <row r="123" customFormat="false" ht="18.75" hidden="false" customHeight="true" outlineLevel="0" collapsed="false">
      <c r="B123" s="216" t="s">
        <v>371</v>
      </c>
      <c r="C123" s="217" t="s">
        <v>489</v>
      </c>
      <c r="D123" s="216" t="s">
        <v>616</v>
      </c>
      <c r="E123" s="218" t="n">
        <v>1</v>
      </c>
      <c r="F123" s="219" t="n">
        <v>44.5</v>
      </c>
      <c r="G123" s="220" t="n">
        <v>44.5</v>
      </c>
      <c r="H123" s="216" t="s">
        <v>549</v>
      </c>
      <c r="I123" s="185"/>
    </row>
    <row r="124" customFormat="false" ht="18.75" hidden="false" customHeight="true" outlineLevel="0" collapsed="false">
      <c r="B124" s="187" t="s">
        <v>371</v>
      </c>
      <c r="C124" s="188" t="s">
        <v>489</v>
      </c>
      <c r="D124" s="187" t="s">
        <v>617</v>
      </c>
      <c r="E124" s="189" t="n">
        <v>1</v>
      </c>
      <c r="F124" s="190" t="n">
        <v>30</v>
      </c>
      <c r="G124" s="191" t="n">
        <v>30</v>
      </c>
      <c r="H124" s="187" t="s">
        <v>491</v>
      </c>
      <c r="I124" s="185"/>
    </row>
    <row r="125" customFormat="false" ht="18.75" hidden="false" customHeight="true" outlineLevel="0" collapsed="false">
      <c r="B125" s="187" t="s">
        <v>374</v>
      </c>
      <c r="C125" s="188" t="s">
        <v>618</v>
      </c>
      <c r="D125" s="187" t="s">
        <v>619</v>
      </c>
      <c r="E125" s="189" t="n">
        <v>1</v>
      </c>
      <c r="F125" s="190" t="n">
        <v>400</v>
      </c>
      <c r="G125" s="191" t="n">
        <v>400</v>
      </c>
      <c r="H125" s="187" t="s">
        <v>620</v>
      </c>
      <c r="I125" s="185"/>
    </row>
    <row r="126" customFormat="false" ht="25.5" hidden="false" customHeight="true" outlineLevel="0" collapsed="false">
      <c r="B126" s="65" t="s">
        <v>621</v>
      </c>
      <c r="C126" s="65"/>
      <c r="D126" s="65"/>
      <c r="E126" s="65"/>
      <c r="F126" s="65"/>
      <c r="G126" s="28" t="n">
        <f aca="false">SUM(G8:G125)</f>
        <v>16504.63</v>
      </c>
      <c r="H126" s="244"/>
      <c r="I126" s="185"/>
    </row>
    <row r="127" customFormat="false" ht="15" hidden="false" customHeight="true" outlineLevel="0" collapsed="false">
      <c r="B127" s="244"/>
      <c r="C127" s="245"/>
      <c r="D127" s="244"/>
      <c r="E127" s="246"/>
      <c r="F127" s="247"/>
      <c r="G127" s="247"/>
      <c r="H127" s="244"/>
      <c r="I127" s="185"/>
    </row>
    <row r="128" customFormat="false" ht="15" hidden="false" customHeight="true" outlineLevel="0" collapsed="false">
      <c r="B128" s="244"/>
      <c r="C128" s="245"/>
      <c r="D128" s="244"/>
      <c r="E128" s="246"/>
      <c r="F128" s="247"/>
      <c r="G128" s="247"/>
      <c r="H128" s="244"/>
      <c r="I128" s="185"/>
    </row>
    <row r="129" customFormat="false" ht="15" hidden="false" customHeight="true" outlineLevel="0" collapsed="false">
      <c r="B129" s="244"/>
      <c r="C129" s="245"/>
      <c r="D129" s="244"/>
      <c r="E129" s="246"/>
      <c r="F129" s="247"/>
      <c r="G129" s="247"/>
      <c r="H129" s="244"/>
      <c r="I129" s="185"/>
    </row>
    <row r="130" customFormat="false" ht="15" hidden="false" customHeight="true" outlineLevel="0" collapsed="false">
      <c r="B130" s="244"/>
      <c r="C130" s="245"/>
      <c r="D130" s="244"/>
      <c r="E130" s="246"/>
      <c r="F130" s="247"/>
      <c r="G130" s="247"/>
      <c r="H130" s="244"/>
      <c r="I130" s="185"/>
    </row>
    <row r="131" customFormat="false" ht="15" hidden="false" customHeight="true" outlineLevel="0" collapsed="false">
      <c r="B131" s="244"/>
      <c r="C131" s="245"/>
      <c r="D131" s="244"/>
      <c r="E131" s="246"/>
      <c r="F131" s="247"/>
      <c r="G131" s="247"/>
      <c r="H131" s="244"/>
      <c r="I131" s="185"/>
    </row>
    <row r="132" customFormat="false" ht="15" hidden="false" customHeight="true" outlineLevel="0" collapsed="false">
      <c r="B132" s="244"/>
      <c r="C132" s="245"/>
      <c r="D132" s="244"/>
      <c r="E132" s="246"/>
      <c r="F132" s="247"/>
      <c r="G132" s="247"/>
      <c r="H132" s="244"/>
      <c r="I132" s="185"/>
    </row>
    <row r="133" customFormat="false" ht="15" hidden="false" customHeight="true" outlineLevel="0" collapsed="false">
      <c r="B133" s="244"/>
      <c r="C133" s="245"/>
      <c r="D133" s="244"/>
      <c r="E133" s="246"/>
      <c r="F133" s="247"/>
      <c r="G133" s="247"/>
      <c r="H133" s="244"/>
      <c r="I133" s="185"/>
    </row>
    <row r="134" customFormat="false" ht="15" hidden="false" customHeight="true" outlineLevel="0" collapsed="false">
      <c r="B134" s="244"/>
      <c r="C134" s="245"/>
      <c r="D134" s="244"/>
      <c r="E134" s="246"/>
      <c r="F134" s="247"/>
      <c r="G134" s="247"/>
      <c r="H134" s="244"/>
      <c r="I134" s="185"/>
    </row>
    <row r="135" customFormat="false" ht="15" hidden="false" customHeight="true" outlineLevel="0" collapsed="false">
      <c r="B135" s="244"/>
      <c r="C135" s="245"/>
      <c r="D135" s="244"/>
      <c r="E135" s="246"/>
      <c r="F135" s="247"/>
      <c r="G135" s="247"/>
      <c r="H135" s="244"/>
      <c r="I135" s="185"/>
    </row>
    <row r="136" customFormat="false" ht="15" hidden="false" customHeight="true" outlineLevel="0" collapsed="false">
      <c r="B136" s="244"/>
      <c r="C136" s="245"/>
      <c r="D136" s="244"/>
      <c r="E136" s="246"/>
      <c r="F136" s="247"/>
      <c r="G136" s="247"/>
      <c r="H136" s="244"/>
      <c r="I136" s="185"/>
    </row>
    <row r="137" customFormat="false" ht="15" hidden="false" customHeight="true" outlineLevel="0" collapsed="false">
      <c r="B137" s="244"/>
      <c r="C137" s="245"/>
      <c r="D137" s="244"/>
      <c r="E137" s="246"/>
      <c r="F137" s="247"/>
      <c r="G137" s="247"/>
      <c r="H137" s="244"/>
      <c r="I137" s="185"/>
    </row>
    <row r="138" customFormat="false" ht="15" hidden="false" customHeight="true" outlineLevel="0" collapsed="false">
      <c r="B138" s="244"/>
      <c r="C138" s="245"/>
      <c r="D138" s="244"/>
      <c r="E138" s="246"/>
      <c r="F138" s="247"/>
      <c r="G138" s="247"/>
      <c r="H138" s="244"/>
      <c r="I138" s="185"/>
    </row>
    <row r="139" customFormat="false" ht="15" hidden="false" customHeight="true" outlineLevel="0" collapsed="false">
      <c r="B139" s="244"/>
      <c r="C139" s="245"/>
      <c r="D139" s="244"/>
      <c r="E139" s="246"/>
      <c r="F139" s="247"/>
      <c r="G139" s="247"/>
      <c r="H139" s="244"/>
      <c r="I139" s="185"/>
    </row>
    <row r="140" customFormat="false" ht="15" hidden="false" customHeight="true" outlineLevel="0" collapsed="false">
      <c r="B140" s="244"/>
      <c r="C140" s="245"/>
      <c r="D140" s="244"/>
      <c r="E140" s="246"/>
      <c r="F140" s="247"/>
      <c r="G140" s="247"/>
      <c r="H140" s="244"/>
      <c r="I140" s="185"/>
    </row>
    <row r="141" customFormat="false" ht="15" hidden="false" customHeight="true" outlineLevel="0" collapsed="false">
      <c r="B141" s="244"/>
      <c r="C141" s="245"/>
      <c r="D141" s="244"/>
      <c r="E141" s="246"/>
      <c r="F141" s="247"/>
      <c r="G141" s="247"/>
      <c r="H141" s="244"/>
      <c r="I141" s="185"/>
    </row>
    <row r="142" customFormat="false" ht="15" hidden="false" customHeight="true" outlineLevel="0" collapsed="false">
      <c r="B142" s="244"/>
      <c r="C142" s="245"/>
      <c r="D142" s="244"/>
      <c r="E142" s="246"/>
      <c r="F142" s="247"/>
      <c r="G142" s="247"/>
      <c r="H142" s="244"/>
      <c r="I142" s="185"/>
    </row>
    <row r="143" customFormat="false" ht="15" hidden="false" customHeight="true" outlineLevel="0" collapsed="false">
      <c r="B143" s="244"/>
      <c r="C143" s="245"/>
      <c r="D143" s="244"/>
      <c r="E143" s="246"/>
      <c r="F143" s="247"/>
      <c r="G143" s="247"/>
      <c r="H143" s="244"/>
      <c r="I143" s="185"/>
    </row>
    <row r="144" customFormat="false" ht="15" hidden="false" customHeight="true" outlineLevel="0" collapsed="false">
      <c r="B144" s="244"/>
      <c r="C144" s="245"/>
      <c r="D144" s="244"/>
      <c r="E144" s="246"/>
      <c r="F144" s="247"/>
      <c r="G144" s="247"/>
      <c r="H144" s="244"/>
      <c r="I144" s="185"/>
    </row>
    <row r="145" customFormat="false" ht="15" hidden="false" customHeight="true" outlineLevel="0" collapsed="false">
      <c r="B145" s="244"/>
      <c r="C145" s="245"/>
      <c r="D145" s="244"/>
      <c r="E145" s="246"/>
      <c r="F145" s="247"/>
      <c r="G145" s="247"/>
      <c r="H145" s="244"/>
      <c r="I145" s="185"/>
    </row>
    <row r="146" customFormat="false" ht="15" hidden="false" customHeight="true" outlineLevel="0" collapsed="false">
      <c r="B146" s="244"/>
      <c r="C146" s="245"/>
      <c r="D146" s="244"/>
      <c r="E146" s="246"/>
      <c r="F146" s="247"/>
      <c r="G146" s="247"/>
      <c r="H146" s="244"/>
      <c r="I146" s="185"/>
    </row>
    <row r="147" customFormat="false" ht="15" hidden="false" customHeight="true" outlineLevel="0" collapsed="false">
      <c r="B147" s="244"/>
      <c r="C147" s="245"/>
      <c r="D147" s="244"/>
      <c r="E147" s="246"/>
      <c r="F147" s="247"/>
      <c r="G147" s="247"/>
      <c r="H147" s="244"/>
      <c r="I147" s="185"/>
    </row>
    <row r="148" customFormat="false" ht="15" hidden="false" customHeight="true" outlineLevel="0" collapsed="false">
      <c r="B148" s="244"/>
      <c r="C148" s="245"/>
      <c r="D148" s="244"/>
      <c r="E148" s="246"/>
      <c r="F148" s="247"/>
      <c r="G148" s="247"/>
      <c r="H148" s="244"/>
      <c r="I148" s="185"/>
    </row>
    <row r="149" customFormat="false" ht="15" hidden="false" customHeight="true" outlineLevel="0" collapsed="false">
      <c r="B149" s="244"/>
      <c r="C149" s="245"/>
      <c r="D149" s="244"/>
      <c r="E149" s="246"/>
      <c r="F149" s="247"/>
      <c r="G149" s="247"/>
      <c r="H149" s="244"/>
      <c r="I149" s="185"/>
    </row>
    <row r="150" customFormat="false" ht="15" hidden="false" customHeight="true" outlineLevel="0" collapsed="false">
      <c r="B150" s="244"/>
      <c r="C150" s="245"/>
      <c r="D150" s="244"/>
      <c r="E150" s="246"/>
      <c r="F150" s="247"/>
      <c r="G150" s="247"/>
      <c r="H150" s="244"/>
      <c r="I150" s="185"/>
    </row>
    <row r="151" customFormat="false" ht="15" hidden="false" customHeight="true" outlineLevel="0" collapsed="false">
      <c r="B151" s="244"/>
      <c r="C151" s="245"/>
      <c r="D151" s="244"/>
      <c r="E151" s="246"/>
      <c r="F151" s="247"/>
      <c r="G151" s="247"/>
      <c r="H151" s="244"/>
      <c r="I151" s="185"/>
    </row>
    <row r="152" customFormat="false" ht="15" hidden="false" customHeight="true" outlineLevel="0" collapsed="false">
      <c r="B152" s="244"/>
      <c r="C152" s="245"/>
      <c r="D152" s="244"/>
      <c r="E152" s="246"/>
      <c r="F152" s="247"/>
      <c r="G152" s="247"/>
      <c r="H152" s="244"/>
      <c r="I152" s="185"/>
    </row>
    <row r="153" customFormat="false" ht="15" hidden="false" customHeight="true" outlineLevel="0" collapsed="false">
      <c r="B153" s="244"/>
      <c r="C153" s="245"/>
      <c r="D153" s="244"/>
      <c r="E153" s="246"/>
      <c r="F153" s="247"/>
      <c r="G153" s="247"/>
      <c r="H153" s="244"/>
      <c r="I153" s="185"/>
    </row>
    <row r="154" customFormat="false" ht="15" hidden="false" customHeight="true" outlineLevel="0" collapsed="false">
      <c r="B154" s="244"/>
      <c r="C154" s="245"/>
      <c r="D154" s="244"/>
      <c r="E154" s="246"/>
      <c r="F154" s="247"/>
      <c r="G154" s="247"/>
      <c r="H154" s="244"/>
      <c r="I154" s="185"/>
    </row>
    <row r="155" customFormat="false" ht="15" hidden="false" customHeight="true" outlineLevel="0" collapsed="false">
      <c r="B155" s="244"/>
      <c r="C155" s="245"/>
      <c r="D155" s="244"/>
      <c r="E155" s="246"/>
      <c r="F155" s="247"/>
      <c r="G155" s="247"/>
      <c r="H155" s="244"/>
      <c r="I155" s="185"/>
    </row>
    <row r="156" customFormat="false" ht="15" hidden="false" customHeight="true" outlineLevel="0" collapsed="false">
      <c r="B156" s="244"/>
      <c r="C156" s="245"/>
      <c r="D156" s="244"/>
      <c r="E156" s="246"/>
      <c r="F156" s="247"/>
      <c r="G156" s="247"/>
      <c r="H156" s="244"/>
      <c r="I156" s="185"/>
    </row>
    <row r="157" customFormat="false" ht="15" hidden="false" customHeight="true" outlineLevel="0" collapsed="false">
      <c r="B157" s="244"/>
      <c r="C157" s="245"/>
      <c r="D157" s="244"/>
      <c r="E157" s="246"/>
      <c r="F157" s="247"/>
      <c r="G157" s="247"/>
      <c r="H157" s="244"/>
      <c r="I157" s="185"/>
    </row>
    <row r="158" customFormat="false" ht="15" hidden="false" customHeight="true" outlineLevel="0" collapsed="false">
      <c r="B158" s="244"/>
      <c r="C158" s="245"/>
      <c r="D158" s="244"/>
      <c r="E158" s="246"/>
      <c r="F158" s="247"/>
      <c r="G158" s="247"/>
      <c r="H158" s="244"/>
      <c r="I158" s="185"/>
    </row>
    <row r="159" customFormat="false" ht="15" hidden="false" customHeight="true" outlineLevel="0" collapsed="false">
      <c r="B159" s="244"/>
      <c r="C159" s="245"/>
      <c r="D159" s="244"/>
      <c r="E159" s="246"/>
      <c r="F159" s="247"/>
      <c r="G159" s="247"/>
      <c r="H159" s="244"/>
      <c r="I159" s="185"/>
    </row>
    <row r="160" customFormat="false" ht="15" hidden="false" customHeight="true" outlineLevel="0" collapsed="false">
      <c r="B160" s="244"/>
      <c r="C160" s="245"/>
      <c r="D160" s="244"/>
      <c r="E160" s="246"/>
      <c r="F160" s="247"/>
      <c r="G160" s="247"/>
      <c r="H160" s="244"/>
      <c r="I160" s="185"/>
    </row>
    <row r="161" customFormat="false" ht="15" hidden="false" customHeight="true" outlineLevel="0" collapsed="false">
      <c r="B161" s="244"/>
      <c r="C161" s="245"/>
      <c r="D161" s="244"/>
      <c r="E161" s="246"/>
      <c r="F161" s="247"/>
      <c r="G161" s="247"/>
      <c r="H161" s="244"/>
      <c r="I161" s="185"/>
    </row>
    <row r="162" customFormat="false" ht="15" hidden="false" customHeight="true" outlineLevel="0" collapsed="false">
      <c r="B162" s="244"/>
      <c r="C162" s="245"/>
      <c r="D162" s="244"/>
      <c r="E162" s="246"/>
      <c r="F162" s="247"/>
      <c r="G162" s="247"/>
      <c r="H162" s="244"/>
      <c r="I162" s="185"/>
    </row>
    <row r="163" customFormat="false" ht="15" hidden="false" customHeight="true" outlineLevel="0" collapsed="false">
      <c r="B163" s="244"/>
      <c r="C163" s="245"/>
      <c r="D163" s="244"/>
      <c r="E163" s="246"/>
      <c r="F163" s="247"/>
      <c r="G163" s="247"/>
      <c r="H163" s="244"/>
      <c r="I163" s="185"/>
    </row>
    <row r="164" customFormat="false" ht="15" hidden="false" customHeight="true" outlineLevel="0" collapsed="false">
      <c r="B164" s="245"/>
      <c r="C164" s="185"/>
      <c r="D164" s="185"/>
      <c r="E164" s="185"/>
      <c r="F164" s="185"/>
      <c r="G164" s="247"/>
      <c r="H164" s="185"/>
      <c r="I164" s="185"/>
    </row>
  </sheetData>
  <mergeCells count="3">
    <mergeCell ref="B2:H2"/>
    <mergeCell ref="B3:H3"/>
    <mergeCell ref="B126:F126"/>
  </mergeCells>
  <dataValidations count="2">
    <dataValidation allowBlank="true" errorStyle="stop" operator="between" showDropDown="false" showErrorMessage="false" showInputMessage="false" sqref="C8:C1059" type="list">
      <formula1>"Costco,Soriana,Super Ley,OXXO,Walmart,Chedraui,Otro"</formula1>
      <formula2>0</formula2>
    </dataValidation>
    <dataValidation allowBlank="true" errorStyle="stop" operator="between" showDropDown="false" showErrorMessage="false" showInputMessage="false" sqref="H8:H1059" type="list">
      <formula1>"🥩 Carnes y Proteínas,🥛 Lácteos y Huevo,🥦 Frutas y Verduras,🍞 Pan y Cereales,🥫 Abarrotes/Despensa,🧴 Limpieza Hogar,🧼 Higiene Personal,🥤 Bebidas,🍿 Botanas y Dulces,🧊 Congelados,🐾 Mascotas,💊 Salud/Farmacia,🏠 Hogar/Varios,📦 Otros"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A817"/>
    <pageSetUpPr fitToPage="false"/>
  </sheetPr>
  <dimension ref="B1:J6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8"/>
    <col collapsed="false" customWidth="true" hidden="false" outlineLevel="0" max="3" min="3" style="1" width="10.85"/>
    <col collapsed="false" customWidth="true" hidden="false" outlineLevel="0" max="4" min="4" style="1" width="22.86"/>
    <col collapsed="false" customWidth="true" hidden="false" outlineLevel="0" max="6" min="5" style="1" width="12.71"/>
    <col collapsed="false" customWidth="true" hidden="false" outlineLevel="0" max="7" min="7" style="1" width="9.71"/>
    <col collapsed="false" customWidth="true" hidden="false" outlineLevel="0" max="8" min="8" style="1" width="3"/>
    <col collapsed="false" customWidth="true" hidden="false" outlineLevel="0" max="9" min="9" style="1" width="19.29"/>
    <col collapsed="false" customWidth="true" hidden="false" outlineLevel="0" max="10" min="10" style="1" width="6"/>
  </cols>
  <sheetData>
    <row r="1" customFormat="false" ht="7.5" hidden="false" customHeight="true" outlineLevel="0" collapsed="false"/>
    <row r="2" customFormat="false" ht="48" hidden="false" customHeight="true" outlineLevel="0" collapsed="false">
      <c r="B2" s="248" t="s">
        <v>622</v>
      </c>
      <c r="C2" s="248"/>
      <c r="D2" s="248"/>
      <c r="E2" s="248"/>
      <c r="F2" s="248"/>
      <c r="G2" s="248"/>
    </row>
    <row r="3" customFormat="false" ht="7.5" hidden="false" customHeight="true" outlineLevel="0" collapsed="false"/>
    <row r="4" customFormat="false" ht="27.75" hidden="false" customHeight="true" outlineLevel="0" collapsed="false">
      <c r="B4" s="34" t="s">
        <v>623</v>
      </c>
      <c r="C4" s="34"/>
      <c r="D4" s="34"/>
      <c r="E4" s="34"/>
      <c r="F4" s="34"/>
      <c r="I4" s="1" t="s">
        <v>11</v>
      </c>
      <c r="J4" s="1" t="s">
        <v>379</v>
      </c>
    </row>
    <row r="5" customFormat="false" ht="30" hidden="false" customHeight="true" outlineLevel="0" collapsed="false">
      <c r="B5" s="249" t="s">
        <v>484</v>
      </c>
      <c r="C5" s="249" t="s">
        <v>624</v>
      </c>
      <c r="D5" s="249" t="s">
        <v>625</v>
      </c>
      <c r="E5" s="249" t="s">
        <v>626</v>
      </c>
      <c r="F5" s="249" t="s">
        <v>627</v>
      </c>
      <c r="I5" s="1" t="s">
        <v>628</v>
      </c>
      <c r="J5" s="1" t="n">
        <v>1867</v>
      </c>
    </row>
    <row r="6" customFormat="false" ht="19.5" hidden="false" customHeight="true" outlineLevel="0" collapsed="false">
      <c r="B6" s="250" t="s">
        <v>629</v>
      </c>
      <c r="C6" s="251" t="n">
        <v>4</v>
      </c>
      <c r="D6" s="127" t="n">
        <v>774</v>
      </c>
      <c r="E6" s="252" t="n">
        <v>193</v>
      </c>
      <c r="F6" s="253" t="s">
        <v>32</v>
      </c>
      <c r="I6" s="1" t="s">
        <v>630</v>
      </c>
      <c r="J6" s="1" t="n">
        <v>1145</v>
      </c>
    </row>
    <row r="7" customFormat="false" ht="19.5" hidden="false" customHeight="true" outlineLevel="0" collapsed="false">
      <c r="B7" s="250" t="s">
        <v>631</v>
      </c>
      <c r="C7" s="251" t="n">
        <v>4</v>
      </c>
      <c r="D7" s="127" t="n">
        <v>48</v>
      </c>
      <c r="E7" s="252" t="n">
        <v>12</v>
      </c>
      <c r="F7" s="253" t="s">
        <v>26</v>
      </c>
      <c r="I7" s="1" t="s">
        <v>632</v>
      </c>
      <c r="J7" s="1" t="n">
        <v>1026</v>
      </c>
    </row>
    <row r="8" customFormat="false" ht="19.5" hidden="false" customHeight="true" outlineLevel="0" collapsed="false">
      <c r="B8" s="250" t="s">
        <v>633</v>
      </c>
      <c r="C8" s="251" t="n">
        <v>3</v>
      </c>
      <c r="D8" s="127" t="n">
        <v>267</v>
      </c>
      <c r="E8" s="252" t="n">
        <v>89</v>
      </c>
      <c r="F8" s="253" t="s">
        <v>32</v>
      </c>
      <c r="I8" s="1" t="s">
        <v>634</v>
      </c>
      <c r="J8" s="1" t="n">
        <v>364.2</v>
      </c>
    </row>
    <row r="9" customFormat="false" ht="19.5" hidden="false" customHeight="true" outlineLevel="0" collapsed="false">
      <c r="B9" s="17" t="s">
        <v>635</v>
      </c>
      <c r="C9" s="254" t="n">
        <v>3</v>
      </c>
      <c r="D9" s="255" t="n">
        <v>198</v>
      </c>
      <c r="E9" s="106" t="n">
        <v>66</v>
      </c>
      <c r="F9" s="256" t="s">
        <v>32</v>
      </c>
      <c r="I9" s="1" t="s">
        <v>636</v>
      </c>
      <c r="J9" s="1" t="n">
        <v>306</v>
      </c>
    </row>
    <row r="10" customFormat="false" ht="19.5" hidden="false" customHeight="true" outlineLevel="0" collapsed="false">
      <c r="B10" s="13" t="s">
        <v>637</v>
      </c>
      <c r="C10" s="257" t="n">
        <v>3</v>
      </c>
      <c r="D10" s="258" t="n">
        <v>66</v>
      </c>
      <c r="E10" s="103" t="n">
        <v>22</v>
      </c>
      <c r="F10" s="259" t="s">
        <v>638</v>
      </c>
      <c r="I10" s="1" t="s">
        <v>639</v>
      </c>
      <c r="J10" s="1" t="n">
        <v>266</v>
      </c>
    </row>
    <row r="11" customFormat="false" ht="19.5" hidden="false" customHeight="true" outlineLevel="0" collapsed="false">
      <c r="B11" s="17" t="s">
        <v>640</v>
      </c>
      <c r="C11" s="254" t="n">
        <v>3</v>
      </c>
      <c r="D11" s="255" t="n">
        <v>87</v>
      </c>
      <c r="E11" s="106" t="n">
        <v>29</v>
      </c>
      <c r="F11" s="256" t="s">
        <v>638</v>
      </c>
      <c r="I11" s="1" t="s">
        <v>641</v>
      </c>
      <c r="J11" s="1" t="n">
        <v>248.9</v>
      </c>
    </row>
    <row r="12" customFormat="false" ht="19.5" hidden="false" customHeight="true" outlineLevel="0" collapsed="false">
      <c r="B12" s="13" t="s">
        <v>642</v>
      </c>
      <c r="C12" s="257" t="n">
        <v>3</v>
      </c>
      <c r="D12" s="258" t="n">
        <v>54</v>
      </c>
      <c r="E12" s="103" t="n">
        <v>18</v>
      </c>
      <c r="F12" s="259" t="s">
        <v>26</v>
      </c>
      <c r="I12" s="1" t="s">
        <v>643</v>
      </c>
      <c r="J12" s="1" t="n">
        <v>236</v>
      </c>
    </row>
    <row r="13" customFormat="false" ht="19.5" hidden="false" customHeight="true" outlineLevel="0" collapsed="false">
      <c r="B13" s="17" t="s">
        <v>644</v>
      </c>
      <c r="C13" s="254" t="n">
        <v>2</v>
      </c>
      <c r="D13" s="255" t="n">
        <v>296</v>
      </c>
      <c r="E13" s="106" t="n">
        <v>148</v>
      </c>
      <c r="F13" s="256" t="s">
        <v>32</v>
      </c>
      <c r="I13" s="1" t="s">
        <v>645</v>
      </c>
      <c r="J13" s="1" t="n">
        <v>90</v>
      </c>
    </row>
    <row r="14" customFormat="false" ht="19.5" hidden="false" customHeight="true" outlineLevel="0" collapsed="false">
      <c r="B14" s="13" t="s">
        <v>646</v>
      </c>
      <c r="C14" s="257" t="n">
        <v>2</v>
      </c>
      <c r="D14" s="258" t="n">
        <v>90</v>
      </c>
      <c r="E14" s="103" t="n">
        <v>45</v>
      </c>
      <c r="F14" s="259" t="s">
        <v>32</v>
      </c>
      <c r="I14" s="1" t="s">
        <v>185</v>
      </c>
      <c r="J14" s="1" t="n">
        <v>72</v>
      </c>
    </row>
    <row r="15" customFormat="false" ht="19.5" hidden="false" customHeight="true" outlineLevel="0" collapsed="false">
      <c r="B15" s="17" t="s">
        <v>647</v>
      </c>
      <c r="C15" s="254" t="n">
        <v>2</v>
      </c>
      <c r="D15" s="255" t="n">
        <v>378</v>
      </c>
      <c r="E15" s="106" t="n">
        <v>189</v>
      </c>
      <c r="F15" s="256" t="s">
        <v>32</v>
      </c>
    </row>
    <row r="16" customFormat="false" ht="19.5" hidden="false" customHeight="true" outlineLevel="0" collapsed="false">
      <c r="B16" s="13" t="s">
        <v>648</v>
      </c>
      <c r="C16" s="257" t="n">
        <v>2</v>
      </c>
      <c r="D16" s="258" t="n">
        <v>175.2</v>
      </c>
      <c r="E16" s="103" t="n">
        <v>87.6</v>
      </c>
      <c r="F16" s="259" t="s">
        <v>32</v>
      </c>
    </row>
    <row r="17" customFormat="false" ht="19.5" hidden="false" customHeight="true" outlineLevel="0" collapsed="false">
      <c r="B17" s="17" t="s">
        <v>649</v>
      </c>
      <c r="C17" s="254" t="n">
        <v>2</v>
      </c>
      <c r="D17" s="255" t="n">
        <v>196</v>
      </c>
      <c r="E17" s="106" t="n">
        <v>98</v>
      </c>
      <c r="F17" s="256" t="s">
        <v>32</v>
      </c>
    </row>
    <row r="18" customFormat="false" ht="19.5" hidden="false" customHeight="true" outlineLevel="0" collapsed="false">
      <c r="B18" s="13" t="s">
        <v>650</v>
      </c>
      <c r="C18" s="257" t="n">
        <v>2</v>
      </c>
      <c r="D18" s="258" t="n">
        <v>412</v>
      </c>
      <c r="E18" s="103" t="n">
        <v>206</v>
      </c>
      <c r="F18" s="259" t="s">
        <v>32</v>
      </c>
    </row>
    <row r="19" customFormat="false" ht="19.5" hidden="false" customHeight="true" outlineLevel="0" collapsed="false">
      <c r="B19" s="17" t="s">
        <v>651</v>
      </c>
      <c r="C19" s="254" t="n">
        <v>2</v>
      </c>
      <c r="D19" s="255" t="n">
        <v>296</v>
      </c>
      <c r="E19" s="106" t="n">
        <v>148</v>
      </c>
      <c r="F19" s="256" t="s">
        <v>32</v>
      </c>
    </row>
    <row r="20" customFormat="false" ht="19.5" hidden="false" customHeight="true" outlineLevel="0" collapsed="false">
      <c r="B20" s="13" t="s">
        <v>652</v>
      </c>
      <c r="C20" s="257" t="n">
        <v>2</v>
      </c>
      <c r="D20" s="258" t="n">
        <v>90</v>
      </c>
      <c r="E20" s="103" t="n">
        <v>45</v>
      </c>
      <c r="F20" s="259" t="s">
        <v>32</v>
      </c>
    </row>
    <row r="21" customFormat="false" ht="19.5" hidden="false" customHeight="true" outlineLevel="0" collapsed="false">
      <c r="B21" s="17" t="s">
        <v>653</v>
      </c>
      <c r="C21" s="254" t="n">
        <v>2</v>
      </c>
      <c r="D21" s="255" t="n">
        <v>196</v>
      </c>
      <c r="E21" s="106" t="n">
        <v>98</v>
      </c>
      <c r="F21" s="256" t="s">
        <v>32</v>
      </c>
    </row>
    <row r="22" customFormat="false" ht="19.5" hidden="false" customHeight="true" outlineLevel="0" collapsed="false">
      <c r="B22" s="13" t="s">
        <v>654</v>
      </c>
      <c r="C22" s="257" t="n">
        <v>2</v>
      </c>
      <c r="D22" s="258" t="n">
        <v>44</v>
      </c>
      <c r="E22" s="103" t="n">
        <v>22</v>
      </c>
      <c r="F22" s="259" t="s">
        <v>638</v>
      </c>
    </row>
    <row r="23" customFormat="false" ht="19.5" hidden="false" customHeight="true" outlineLevel="0" collapsed="false">
      <c r="B23" s="17" t="s">
        <v>655</v>
      </c>
      <c r="C23" s="254" t="n">
        <v>2</v>
      </c>
      <c r="D23" s="255" t="n">
        <v>90</v>
      </c>
      <c r="E23" s="106" t="n">
        <v>45</v>
      </c>
      <c r="F23" s="256" t="s">
        <v>638</v>
      </c>
    </row>
    <row r="24" customFormat="false" ht="19.5" hidden="false" customHeight="true" outlineLevel="0" collapsed="false">
      <c r="B24" s="13" t="s">
        <v>656</v>
      </c>
      <c r="C24" s="257" t="n">
        <v>2</v>
      </c>
      <c r="D24" s="258" t="n">
        <v>64</v>
      </c>
      <c r="E24" s="103" t="n">
        <v>32</v>
      </c>
      <c r="F24" s="259" t="s">
        <v>638</v>
      </c>
    </row>
    <row r="25" customFormat="false" ht="19.5" hidden="false" customHeight="true" outlineLevel="0" collapsed="false">
      <c r="B25" s="17" t="s">
        <v>657</v>
      </c>
      <c r="C25" s="254" t="n">
        <v>2</v>
      </c>
      <c r="D25" s="255" t="n">
        <v>70</v>
      </c>
      <c r="E25" s="106" t="n">
        <v>35</v>
      </c>
      <c r="F25" s="256" t="s">
        <v>638</v>
      </c>
    </row>
    <row r="26" customFormat="false" ht="9.75" hidden="false" customHeight="true" outlineLevel="0" collapsed="false"/>
    <row r="28" customFormat="false" ht="27.75" hidden="false" customHeight="true" outlineLevel="0" collapsed="false">
      <c r="B28" s="34" t="s">
        <v>658</v>
      </c>
      <c r="C28" s="34"/>
      <c r="D28" s="34"/>
      <c r="E28" s="34"/>
      <c r="F28" s="34"/>
    </row>
    <row r="29" customFormat="false" ht="30" hidden="false" customHeight="true" outlineLevel="0" collapsed="false">
      <c r="B29" s="260" t="s">
        <v>11</v>
      </c>
      <c r="C29" s="260" t="s">
        <v>659</v>
      </c>
      <c r="D29" s="260" t="s">
        <v>660</v>
      </c>
      <c r="E29" s="260" t="s">
        <v>661</v>
      </c>
      <c r="F29" s="260" t="s">
        <v>662</v>
      </c>
    </row>
    <row r="30" customFormat="false" ht="21" hidden="false" customHeight="true" outlineLevel="0" collapsed="false">
      <c r="B30" s="74" t="s">
        <v>663</v>
      </c>
      <c r="C30" s="261" t="n">
        <v>8</v>
      </c>
      <c r="D30" s="103" t="n">
        <v>1867</v>
      </c>
      <c r="E30" s="262" t="n">
        <v>0.332141395812208</v>
      </c>
      <c r="F30" s="261" t="n">
        <v>16</v>
      </c>
    </row>
    <row r="31" customFormat="false" ht="21" hidden="false" customHeight="true" outlineLevel="0" collapsed="false">
      <c r="B31" s="79" t="s">
        <v>664</v>
      </c>
      <c r="C31" s="237" t="n">
        <v>5</v>
      </c>
      <c r="D31" s="106" t="n">
        <v>1145</v>
      </c>
      <c r="E31" s="263" t="n">
        <v>0.203696785326715</v>
      </c>
      <c r="F31" s="237" t="n">
        <v>11</v>
      </c>
    </row>
    <row r="32" customFormat="false" ht="21" hidden="false" customHeight="true" outlineLevel="0" collapsed="false">
      <c r="B32" s="74" t="s">
        <v>524</v>
      </c>
      <c r="C32" s="261" t="n">
        <v>7</v>
      </c>
      <c r="D32" s="103" t="n">
        <v>1026</v>
      </c>
      <c r="E32" s="262" t="n">
        <v>0.182526551742542</v>
      </c>
      <c r="F32" s="261" t="n">
        <v>17</v>
      </c>
    </row>
    <row r="33" customFormat="false" ht="21" hidden="false" customHeight="true" outlineLevel="0" collapsed="false">
      <c r="B33" s="79" t="s">
        <v>665</v>
      </c>
      <c r="C33" s="237" t="n">
        <v>2</v>
      </c>
      <c r="D33" s="106" t="n">
        <v>364.2</v>
      </c>
      <c r="E33" s="263" t="n">
        <v>0.0647915888349255</v>
      </c>
      <c r="F33" s="237" t="n">
        <v>3</v>
      </c>
    </row>
    <row r="34" customFormat="false" ht="21" hidden="false" customHeight="true" outlineLevel="0" collapsed="false">
      <c r="B34" s="74" t="s">
        <v>666</v>
      </c>
      <c r="C34" s="261" t="n">
        <v>7</v>
      </c>
      <c r="D34" s="103" t="n">
        <v>306</v>
      </c>
      <c r="E34" s="262" t="n">
        <v>0.0544377435021615</v>
      </c>
      <c r="F34" s="261" t="n">
        <v>10</v>
      </c>
    </row>
    <row r="35" customFormat="false" ht="21" hidden="false" customHeight="true" outlineLevel="0" collapsed="false">
      <c r="B35" s="79" t="s">
        <v>667</v>
      </c>
      <c r="C35" s="237" t="n">
        <v>2</v>
      </c>
      <c r="D35" s="106" t="n">
        <v>266</v>
      </c>
      <c r="E35" s="263" t="n">
        <v>0.0473216985999182</v>
      </c>
      <c r="F35" s="237" t="n">
        <v>4</v>
      </c>
    </row>
    <row r="36" customFormat="false" ht="21" hidden="false" customHeight="true" outlineLevel="0" collapsed="false">
      <c r="B36" s="74" t="s">
        <v>549</v>
      </c>
      <c r="C36" s="261" t="n">
        <v>3</v>
      </c>
      <c r="D36" s="103" t="n">
        <v>248.9</v>
      </c>
      <c r="E36" s="262" t="n">
        <v>0.0442795894042091</v>
      </c>
      <c r="F36" s="261" t="n">
        <v>4</v>
      </c>
    </row>
    <row r="37" customFormat="false" ht="21" hidden="false" customHeight="true" outlineLevel="0" collapsed="false">
      <c r="B37" s="79" t="s">
        <v>495</v>
      </c>
      <c r="C37" s="237" t="n">
        <v>2</v>
      </c>
      <c r="D37" s="106" t="n">
        <v>236</v>
      </c>
      <c r="E37" s="263" t="n">
        <v>0.0419846649232357</v>
      </c>
      <c r="F37" s="237" t="n">
        <v>5</v>
      </c>
    </row>
    <row r="38" customFormat="false" ht="21" hidden="false" customHeight="true" outlineLevel="0" collapsed="false">
      <c r="B38" s="74" t="s">
        <v>491</v>
      </c>
      <c r="C38" s="261" t="n">
        <v>2</v>
      </c>
      <c r="D38" s="103" t="n">
        <v>90</v>
      </c>
      <c r="E38" s="262" t="n">
        <v>0.0160111010300475</v>
      </c>
      <c r="F38" s="261" t="n">
        <v>5</v>
      </c>
    </row>
    <row r="39" customFormat="false" ht="21" hidden="false" customHeight="true" outlineLevel="0" collapsed="false">
      <c r="B39" s="79" t="s">
        <v>668</v>
      </c>
      <c r="C39" s="237" t="n">
        <v>3</v>
      </c>
      <c r="D39" s="106" t="n">
        <v>72</v>
      </c>
      <c r="E39" s="263" t="n">
        <v>0.012808880824038</v>
      </c>
      <c r="F39" s="237" t="n">
        <v>4</v>
      </c>
    </row>
    <row r="42" customFormat="false" ht="27.75" hidden="false" customHeight="true" outlineLevel="0" collapsed="false">
      <c r="B42" s="34" t="s">
        <v>669</v>
      </c>
      <c r="C42" s="34"/>
      <c r="D42" s="34"/>
      <c r="E42" s="34"/>
      <c r="F42" s="34"/>
    </row>
    <row r="43" customFormat="false" ht="30" hidden="false" customHeight="true" outlineLevel="0" collapsed="false">
      <c r="B43" s="264" t="s">
        <v>483</v>
      </c>
      <c r="C43" s="264" t="s">
        <v>670</v>
      </c>
      <c r="D43" s="264" t="s">
        <v>671</v>
      </c>
      <c r="E43" s="264" t="s">
        <v>672</v>
      </c>
      <c r="F43" s="264" t="s">
        <v>673</v>
      </c>
    </row>
    <row r="44" customFormat="false" ht="21.75" hidden="false" customHeight="true" outlineLevel="0" collapsed="false">
      <c r="B44" s="74" t="s">
        <v>32</v>
      </c>
      <c r="C44" s="261" t="n">
        <v>3</v>
      </c>
      <c r="D44" s="103" t="n">
        <v>4548.1</v>
      </c>
      <c r="E44" s="103" t="n">
        <v>1516.03333333333</v>
      </c>
      <c r="F44" s="262" t="n">
        <v>0.809112095497323</v>
      </c>
    </row>
    <row r="45" customFormat="false" ht="21.75" hidden="false" customHeight="true" outlineLevel="0" collapsed="false">
      <c r="B45" s="79" t="s">
        <v>638</v>
      </c>
      <c r="C45" s="237" t="n">
        <v>1</v>
      </c>
      <c r="D45" s="106" t="n">
        <v>683</v>
      </c>
      <c r="E45" s="106" t="n">
        <v>683</v>
      </c>
      <c r="F45" s="263" t="n">
        <v>0.121506466705805</v>
      </c>
    </row>
    <row r="46" customFormat="false" ht="21.75" hidden="false" customHeight="true" outlineLevel="0" collapsed="false">
      <c r="B46" s="74" t="s">
        <v>26</v>
      </c>
      <c r="C46" s="261" t="n">
        <v>3</v>
      </c>
      <c r="D46" s="103" t="n">
        <v>390</v>
      </c>
      <c r="E46" s="103" t="n">
        <v>130</v>
      </c>
      <c r="F46" s="262" t="n">
        <v>0.0693814377968725</v>
      </c>
    </row>
    <row r="49" customFormat="false" ht="27.75" hidden="false" customHeight="true" outlineLevel="0" collapsed="false">
      <c r="B49" s="265" t="s">
        <v>674</v>
      </c>
      <c r="C49" s="265"/>
      <c r="D49" s="265"/>
      <c r="E49" s="265"/>
      <c r="F49" s="265"/>
    </row>
    <row r="50" customFormat="false" ht="30" hidden="false" customHeight="true" outlineLevel="0" collapsed="false">
      <c r="B50" s="266" t="s">
        <v>484</v>
      </c>
      <c r="C50" s="266" t="s">
        <v>675</v>
      </c>
      <c r="D50" s="266" t="s">
        <v>676</v>
      </c>
      <c r="E50" s="266" t="s">
        <v>677</v>
      </c>
      <c r="F50" s="266" t="s">
        <v>678</v>
      </c>
      <c r="G50" s="266" t="s">
        <v>679</v>
      </c>
    </row>
    <row r="51" customFormat="false" ht="19.5" hidden="false" customHeight="true" outlineLevel="0" collapsed="false">
      <c r="B51" s="126" t="s">
        <v>680</v>
      </c>
      <c r="C51" s="126" t="s">
        <v>251</v>
      </c>
      <c r="D51" s="128" t="n">
        <v>195</v>
      </c>
      <c r="E51" s="126" t="s">
        <v>229</v>
      </c>
      <c r="F51" s="128" t="n">
        <v>189</v>
      </c>
      <c r="G51" s="267" t="n">
        <v>-0.0307692307692308</v>
      </c>
    </row>
    <row r="54" customFormat="false" ht="27.75" hidden="false" customHeight="true" outlineLevel="0" collapsed="false">
      <c r="B54" s="11" t="s">
        <v>681</v>
      </c>
      <c r="C54" s="11"/>
      <c r="D54" s="11"/>
      <c r="E54" s="11"/>
      <c r="F54" s="11"/>
    </row>
    <row r="55" customFormat="false" ht="30" hidden="false" customHeight="true" outlineLevel="0" collapsed="false">
      <c r="B55" s="268" t="s">
        <v>484</v>
      </c>
      <c r="C55" s="268" t="s">
        <v>682</v>
      </c>
      <c r="D55" s="268" t="s">
        <v>683</v>
      </c>
      <c r="E55" s="268" t="s">
        <v>684</v>
      </c>
      <c r="F55" s="268" t="s">
        <v>685</v>
      </c>
    </row>
    <row r="56" customFormat="false" ht="21.75" hidden="false" customHeight="true" outlineLevel="0" collapsed="false">
      <c r="B56" s="269" t="s">
        <v>686</v>
      </c>
      <c r="C56" s="270" t="n">
        <v>22</v>
      </c>
      <c r="D56" s="271" t="s">
        <v>687</v>
      </c>
      <c r="E56" s="272" t="n">
        <v>7.5</v>
      </c>
      <c r="F56" s="273" t="n">
        <v>0.517241379310345</v>
      </c>
    </row>
    <row r="57" customFormat="false" ht="21.75" hidden="false" customHeight="true" outlineLevel="0" collapsed="false">
      <c r="B57" s="269" t="s">
        <v>688</v>
      </c>
      <c r="C57" s="270" t="n">
        <v>18</v>
      </c>
      <c r="D57" s="271" t="s">
        <v>689</v>
      </c>
      <c r="E57" s="272" t="n">
        <v>8.5</v>
      </c>
      <c r="F57" s="273" t="n">
        <v>0.894736842105263</v>
      </c>
    </row>
    <row r="58" customFormat="false" ht="21.75" hidden="false" customHeight="true" outlineLevel="0" collapsed="false">
      <c r="B58" s="269" t="s">
        <v>690</v>
      </c>
      <c r="C58" s="270" t="n">
        <v>19</v>
      </c>
      <c r="D58" s="271" t="s">
        <v>691</v>
      </c>
      <c r="E58" s="272" t="n">
        <v>13.5</v>
      </c>
      <c r="F58" s="273" t="n">
        <v>2.45454545454546</v>
      </c>
    </row>
    <row r="59" customFormat="false" ht="21.75" hidden="false" customHeight="true" outlineLevel="0" collapsed="false">
      <c r="B59" s="269" t="s">
        <v>692</v>
      </c>
      <c r="C59" s="270" t="n">
        <v>12</v>
      </c>
      <c r="D59" s="271" t="s">
        <v>693</v>
      </c>
      <c r="E59" s="272" t="n">
        <v>4</v>
      </c>
      <c r="F59" s="273" t="n">
        <v>0.5</v>
      </c>
    </row>
    <row r="60" customFormat="false" ht="21.75" hidden="false" customHeight="true" outlineLevel="0" collapsed="false">
      <c r="B60" s="269" t="s">
        <v>694</v>
      </c>
      <c r="C60" s="270" t="n">
        <v>42</v>
      </c>
      <c r="D60" s="271" t="s">
        <v>695</v>
      </c>
      <c r="E60" s="272" t="n">
        <v>14</v>
      </c>
      <c r="F60" s="273" t="n">
        <v>0.5</v>
      </c>
    </row>
  </sheetData>
  <mergeCells count="6">
    <mergeCell ref="B2:G2"/>
    <mergeCell ref="B4:F4"/>
    <mergeCell ref="B28:F28"/>
    <mergeCell ref="B42:F42"/>
    <mergeCell ref="B49:F49"/>
    <mergeCell ref="B54:F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2026-05-07T19:44:02Z</dcterms:created>
  <dc:creator>openpyxl</dc:creator>
  <dc:description/>
  <dc:language>en-US</dc:language>
  <cp:lastModifiedBy/>
  <dcterms:modified xsi:type="dcterms:W3CDTF">2026-06-04T16:54:55Z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